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t\OneDrive\Documents\"/>
    </mc:Choice>
  </mc:AlternateContent>
  <xr:revisionPtr revIDLastSave="0" documentId="13_ncr:1_{DFD95743-18F4-447A-99DA-7C172D53FB5D}" xr6:coauthVersionLast="47" xr6:coauthVersionMax="47" xr10:uidLastSave="{00000000-0000-0000-0000-000000000000}"/>
  <bookViews>
    <workbookView xWindow="-108" yWindow="-108" windowWidth="23256" windowHeight="12456" xr2:uid="{7B721B8C-3F8E-497D-9866-C5ACDEA19152}"/>
  </bookViews>
  <sheets>
    <sheet name="Telco-Customer-Churn" sheetId="1" r:id="rId1"/>
    <sheet name="Analysis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2" l="1"/>
  <c r="I15" i="2"/>
  <c r="I13" i="2"/>
  <c r="B9" i="2"/>
  <c r="B5" i="2"/>
  <c r="B4" i="2"/>
  <c r="B6" i="2" s="1"/>
  <c r="B3" i="2"/>
  <c r="Y7" i="1"/>
  <c r="Y6" i="1"/>
  <c r="Y3" i="1"/>
  <c r="B8" i="2"/>
  <c r="Y5" i="1"/>
  <c r="B7" i="2"/>
  <c r="T1084" i="1"/>
  <c r="T6672" i="1"/>
  <c r="T3333" i="1"/>
  <c r="T1342" i="1"/>
  <c r="T3828" i="1"/>
  <c r="T938" i="1"/>
  <c r="Y4" i="1"/>
  <c r="T490" i="1"/>
  <c r="T5220" i="1"/>
  <c r="T6756" i="1"/>
  <c r="T755" i="1"/>
  <c r="T4382" i="1"/>
</calcChain>
</file>

<file path=xl/sharedStrings.xml><?xml version="1.0" encoding="utf-8"?>
<sst xmlns="http://schemas.openxmlformats.org/spreadsheetml/2006/main" count="119784" uniqueCount="7096">
  <si>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</si>
  <si>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</si>
  <si>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</si>
  <si>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</si>
  <si>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</si>
  <si>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</si>
  <si>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</si>
  <si>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</si>
  <si>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</si>
  <si>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</si>
  <si>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</si>
  <si>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</si>
  <si>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</si>
  <si>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</si>
  <si>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</si>
  <si>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</si>
  <si>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</si>
  <si>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</si>
  <si>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</si>
  <si>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</si>
  <si>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</si>
  <si>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</si>
  <si>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</si>
  <si>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</si>
  <si>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</si>
  <si>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</si>
  <si>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</si>
  <si>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</si>
  <si>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</si>
  <si>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</si>
  <si>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</si>
  <si>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</si>
  <si>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</si>
  <si>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</si>
  <si>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</si>
  <si>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</si>
  <si>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</si>
  <si>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</si>
  <si>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</si>
  <si>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</si>
  <si>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</si>
  <si>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</si>
  <si>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</si>
  <si>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</si>
  <si>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</si>
  <si>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</si>
  <si>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</si>
  <si>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</si>
  <si>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</si>
  <si>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</si>
  <si>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</si>
  <si>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</si>
  <si>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</si>
  <si>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</si>
  <si>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</si>
  <si>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</si>
  <si>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</si>
  <si>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</si>
  <si>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</si>
  <si>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</si>
  <si>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</si>
  <si>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</si>
  <si>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</si>
  <si>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</si>
  <si>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</si>
  <si>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</si>
  <si>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</si>
  <si>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</si>
  <si>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</si>
  <si>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</si>
  <si>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</si>
  <si>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</si>
  <si>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</si>
  <si>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</si>
  <si>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</si>
  <si>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</si>
  <si>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</si>
  <si>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</si>
  <si>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</si>
  <si>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</si>
  <si>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</si>
  <si>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</si>
  <si>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</si>
  <si>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</si>
  <si>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</si>
  <si>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</si>
  <si>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</si>
  <si>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</si>
  <si>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</si>
  <si>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</si>
  <si>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</si>
  <si>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</si>
  <si>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</si>
  <si>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</si>
  <si>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</si>
  <si>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</si>
  <si>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</si>
  <si>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</si>
  <si>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</si>
  <si>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</si>
  <si>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</si>
  <si>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</si>
  <si>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</si>
  <si>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</si>
  <si>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</si>
  <si>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</si>
  <si>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</si>
  <si>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</si>
  <si>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</si>
  <si>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</si>
  <si>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</si>
  <si>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</si>
  <si>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</si>
  <si>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</si>
  <si>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</si>
  <si>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</si>
  <si>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</si>
  <si>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</si>
  <si>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</si>
  <si>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</si>
  <si>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</si>
  <si>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</si>
  <si>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</si>
  <si>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</si>
  <si>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</si>
  <si>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</si>
  <si>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</si>
  <si>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</si>
  <si>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</si>
  <si>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</si>
  <si>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</si>
  <si>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</si>
  <si>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</si>
  <si>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</si>
  <si>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</si>
  <si>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</si>
  <si>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</si>
  <si>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</si>
  <si>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</si>
  <si>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</si>
  <si>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</si>
  <si>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</si>
  <si>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</si>
  <si>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</si>
  <si>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</si>
  <si>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</si>
  <si>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</si>
  <si>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</si>
  <si>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</si>
  <si>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</si>
  <si>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</si>
  <si>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</si>
  <si>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</si>
  <si>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</si>
  <si>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</si>
  <si>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</si>
  <si>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</si>
  <si>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</si>
  <si>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</si>
  <si>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</si>
  <si>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</si>
  <si>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</si>
  <si>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</si>
  <si>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</si>
  <si>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</si>
  <si>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</si>
  <si>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</si>
  <si>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</si>
  <si>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</si>
  <si>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</si>
  <si>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</si>
  <si>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</si>
  <si>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</si>
  <si>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</si>
  <si>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</si>
  <si>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</si>
  <si>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</si>
  <si>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</si>
  <si>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</si>
  <si>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</si>
  <si>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</si>
  <si>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</si>
  <si>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</si>
  <si>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</si>
  <si>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</si>
  <si>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</si>
  <si>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</si>
  <si>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</si>
  <si>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</si>
  <si>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</si>
  <si>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</si>
  <si>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</si>
  <si>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</si>
  <si>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</si>
  <si>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</si>
  <si>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</si>
  <si>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</si>
  <si>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</si>
  <si>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</si>
  <si>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</si>
  <si>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</si>
  <si>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</si>
  <si>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</si>
  <si>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</si>
  <si>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</si>
  <si>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</si>
  <si>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</si>
  <si>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</si>
  <si>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</si>
  <si>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</si>
  <si>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</si>
  <si>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</si>
  <si>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</si>
  <si>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</si>
  <si>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</si>
  <si>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</si>
  <si>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</si>
  <si>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</si>
  <si>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</si>
  <si>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</si>
  <si>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</si>
  <si>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</si>
  <si>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</si>
  <si>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</si>
  <si>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</si>
  <si>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</si>
  <si>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</si>
  <si>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</si>
  <si>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</si>
  <si>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</si>
  <si>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</si>
  <si>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</si>
  <si>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</si>
  <si>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</si>
  <si>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</si>
  <si>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</si>
  <si>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</si>
  <si>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</si>
  <si>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</si>
  <si>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</si>
  <si>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</si>
  <si>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</si>
  <si>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</si>
  <si>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</si>
  <si>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</si>
  <si>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</si>
  <si>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</si>
  <si>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</si>
  <si>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</si>
  <si>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</si>
  <si>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</si>
  <si>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</si>
  <si>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</si>
  <si>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</si>
  <si>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</si>
  <si>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</si>
  <si>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</si>
  <si>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</si>
  <si>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</si>
  <si>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</si>
  <si>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</si>
  <si>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</si>
  <si>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</si>
  <si>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</si>
  <si>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</si>
  <si>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</si>
  <si>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</si>
  <si>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</si>
  <si>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</si>
  <si>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</si>
  <si>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</si>
  <si>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</si>
  <si>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</si>
  <si>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</si>
  <si>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</si>
  <si>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</si>
  <si>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</si>
  <si>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</si>
  <si>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</si>
  <si>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</si>
  <si>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</si>
  <si>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</si>
  <si>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</si>
  <si>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</si>
  <si>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</si>
  <si>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</si>
  <si>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</si>
  <si>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</si>
  <si>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</si>
  <si>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</si>
  <si>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</si>
  <si>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</si>
  <si>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</si>
  <si>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</si>
  <si>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</si>
  <si>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</si>
  <si>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</si>
  <si>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</si>
  <si>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</si>
  <si>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</si>
  <si>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</si>
  <si>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</si>
  <si>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</si>
  <si>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</si>
  <si>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</si>
  <si>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</si>
  <si>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</si>
  <si>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</si>
  <si>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</si>
  <si>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</si>
  <si>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</si>
  <si>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</si>
  <si>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</si>
  <si>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</si>
  <si>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</si>
  <si>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</si>
  <si>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</si>
  <si>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</si>
  <si>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</si>
  <si>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</si>
  <si>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</si>
  <si>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</si>
  <si>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</si>
  <si>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</si>
  <si>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</si>
  <si>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</si>
  <si>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</si>
  <si>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</si>
  <si>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</si>
  <si>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</si>
  <si>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</si>
  <si>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</si>
  <si>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</si>
  <si>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</si>
  <si>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</si>
  <si>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</si>
  <si>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</si>
  <si>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</si>
  <si>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</si>
  <si>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</si>
  <si>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</si>
  <si>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</si>
  <si>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</si>
  <si>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</si>
  <si>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</si>
  <si>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</si>
  <si>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</si>
  <si>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</si>
  <si>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</si>
  <si>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</si>
  <si>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</si>
  <si>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</si>
  <si>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</si>
  <si>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</si>
  <si>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</si>
  <si>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</si>
  <si>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</si>
  <si>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</si>
  <si>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</si>
  <si>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</si>
  <si>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</si>
  <si>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</si>
  <si>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</si>
  <si>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</si>
  <si>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</si>
  <si>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</si>
  <si>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</si>
  <si>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</si>
  <si>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</si>
  <si>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</si>
  <si>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</si>
  <si>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</si>
  <si>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</si>
  <si>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</si>
  <si>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</si>
  <si>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</si>
  <si>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</si>
  <si>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</si>
  <si>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</si>
  <si>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</si>
  <si>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</si>
  <si>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</si>
  <si>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</si>
  <si>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</si>
  <si>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</si>
  <si>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</si>
  <si>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</si>
  <si>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</si>
  <si>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</si>
  <si>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</si>
  <si>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</si>
  <si>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</si>
  <si>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</si>
  <si>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</si>
  <si>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</si>
  <si>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</si>
  <si>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</si>
  <si>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</si>
  <si>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</si>
  <si>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</si>
  <si>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</si>
  <si>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</si>
  <si>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</si>
  <si>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</si>
  <si>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</si>
  <si>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</si>
  <si>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</si>
  <si>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</si>
  <si>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</si>
  <si>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</si>
  <si>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</si>
  <si>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</si>
  <si>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</si>
  <si>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</si>
  <si>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</si>
  <si>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</si>
  <si>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</si>
  <si>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</si>
  <si>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</si>
  <si>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</si>
  <si>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</si>
  <si>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</si>
  <si>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</si>
  <si>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</si>
  <si>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</si>
  <si>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</si>
  <si>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</si>
  <si>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</si>
  <si>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</si>
  <si>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</si>
  <si>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</si>
  <si>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</si>
  <si>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</si>
  <si>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</si>
  <si>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</si>
  <si>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</si>
  <si>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</si>
  <si>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</si>
  <si>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</si>
  <si>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</si>
  <si>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</si>
  <si>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</si>
  <si>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</si>
  <si>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</si>
  <si>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</si>
  <si>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</si>
  <si>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</si>
  <si>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</si>
  <si>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</si>
  <si>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</si>
  <si>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</si>
  <si>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</si>
  <si>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</si>
  <si>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</si>
  <si>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</si>
  <si>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</si>
  <si>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</si>
  <si>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</si>
  <si>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</si>
  <si>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</si>
  <si>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</si>
  <si>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</si>
  <si>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</si>
  <si>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</si>
  <si>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</si>
  <si>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</si>
  <si>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</si>
  <si>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</si>
  <si>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</si>
  <si>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</si>
  <si>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</si>
  <si>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</si>
  <si>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</si>
  <si>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</si>
  <si>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</si>
  <si>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</si>
  <si>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</si>
  <si>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</si>
  <si>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</si>
  <si>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</si>
  <si>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</si>
  <si>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</si>
  <si>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</si>
  <si>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</si>
  <si>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</si>
  <si>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</si>
  <si>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</si>
  <si>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</si>
  <si>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</si>
  <si>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</si>
  <si>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</si>
  <si>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</si>
  <si>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</si>
  <si>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</si>
  <si>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</si>
  <si>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</si>
  <si>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</si>
  <si>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</si>
  <si>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</si>
  <si>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</si>
  <si>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</si>
  <si>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</si>
  <si>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</si>
  <si>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</si>
  <si>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</si>
  <si>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</si>
  <si>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</si>
  <si>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</si>
  <si>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</si>
  <si>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</si>
  <si>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</si>
  <si>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</si>
  <si>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</si>
  <si>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</si>
  <si>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</si>
  <si>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</si>
  <si>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</si>
  <si>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</si>
  <si>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</si>
  <si>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</si>
  <si>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</si>
  <si>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</si>
  <si>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</si>
  <si>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</si>
  <si>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</si>
  <si>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</si>
  <si>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</si>
  <si>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</si>
  <si>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</si>
  <si>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</si>
  <si>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</si>
  <si>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</si>
  <si>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</si>
  <si>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</si>
  <si>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</si>
  <si>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</si>
  <si>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</si>
  <si>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</si>
  <si>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</si>
  <si>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</si>
  <si>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</si>
  <si>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</si>
  <si>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</si>
  <si>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</si>
  <si>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</si>
  <si>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</si>
  <si>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</si>
  <si>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</si>
  <si>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</si>
  <si>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</si>
  <si>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</si>
  <si>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</si>
  <si>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</si>
  <si>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</si>
  <si>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</si>
  <si>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</si>
  <si>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</si>
  <si>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</si>
  <si>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</si>
  <si>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</si>
  <si>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</si>
  <si>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</si>
  <si>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</si>
  <si>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</si>
  <si>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</si>
  <si>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</si>
  <si>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</si>
  <si>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</si>
  <si>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</si>
  <si>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</si>
  <si>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</si>
  <si>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</si>
  <si>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</si>
  <si>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</si>
  <si>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</si>
  <si>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</si>
  <si>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</si>
  <si>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</si>
  <si>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</si>
  <si>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</si>
  <si>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</si>
  <si>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</si>
  <si>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</si>
  <si>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</si>
  <si>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</si>
  <si>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</si>
  <si>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</si>
  <si>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</si>
  <si>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</si>
  <si>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</si>
  <si>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</si>
  <si>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</si>
  <si>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</si>
  <si>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</si>
  <si>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</si>
  <si>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</si>
  <si>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</si>
  <si>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</si>
  <si>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</si>
  <si>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</si>
  <si>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</si>
  <si>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</si>
  <si>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</si>
  <si>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</si>
  <si>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</si>
  <si>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</si>
  <si>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</si>
  <si>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</si>
  <si>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</si>
  <si>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</si>
  <si>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</si>
  <si>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</si>
  <si>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</si>
  <si>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</si>
  <si>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</si>
  <si>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</si>
  <si>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</si>
  <si>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</si>
  <si>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</si>
  <si>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</si>
  <si>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</si>
  <si>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</si>
  <si>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</si>
  <si>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</si>
  <si>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</si>
  <si>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</si>
  <si>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</si>
  <si>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</si>
  <si>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</si>
  <si>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</si>
  <si>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</si>
  <si>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</si>
  <si>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</si>
  <si>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</si>
  <si>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</si>
  <si>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</si>
  <si>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</si>
  <si>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</si>
  <si>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</si>
  <si>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</si>
  <si>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</si>
  <si>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</si>
  <si>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</si>
  <si>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</si>
  <si>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</si>
  <si>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</si>
  <si>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</si>
  <si>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</si>
  <si>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</si>
  <si>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</si>
  <si>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</si>
  <si>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</si>
  <si>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</si>
  <si>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</si>
  <si>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</si>
  <si>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</si>
  <si>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</si>
  <si>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</si>
  <si>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</si>
  <si>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</si>
  <si>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</si>
  <si>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</si>
  <si>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</si>
  <si>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</si>
  <si>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</si>
  <si>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</si>
  <si>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</si>
  <si>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</si>
  <si>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</si>
  <si>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</si>
  <si>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</si>
  <si>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</si>
  <si>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</si>
  <si>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</si>
  <si>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</si>
  <si>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</si>
  <si>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</si>
  <si>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</si>
  <si>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</si>
  <si>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</si>
  <si>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</si>
  <si>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</si>
  <si>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</si>
  <si>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</si>
  <si>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</si>
  <si>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</si>
  <si>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</si>
  <si>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</si>
  <si>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</si>
  <si>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</si>
  <si>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</si>
  <si>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</si>
  <si>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</si>
  <si>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</si>
  <si>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</si>
  <si>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</si>
  <si>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</si>
  <si>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</si>
  <si>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</si>
  <si>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</si>
  <si>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</si>
  <si>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</si>
  <si>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</si>
  <si>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</si>
  <si>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</si>
  <si>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</si>
  <si>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</si>
  <si>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</si>
  <si>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</si>
  <si>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</si>
  <si>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</si>
  <si>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</si>
  <si>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</si>
  <si>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</si>
  <si>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</si>
  <si>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</si>
  <si>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</si>
  <si>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</si>
  <si>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</si>
  <si>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</si>
  <si>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</si>
  <si>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</si>
  <si>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</si>
  <si>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</si>
  <si>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</si>
  <si>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</si>
  <si>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</si>
  <si>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</si>
  <si>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</si>
  <si>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</si>
  <si>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</si>
  <si>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</si>
  <si>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</si>
  <si>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</si>
  <si>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</si>
  <si>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</si>
  <si>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</si>
  <si>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</si>
  <si>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</si>
  <si>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</si>
  <si>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</si>
  <si>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</si>
  <si>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</si>
  <si>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</si>
  <si>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</si>
  <si>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</si>
  <si>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</si>
  <si>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</si>
  <si>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</si>
  <si>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</si>
  <si>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</si>
  <si>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</si>
  <si>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</si>
  <si>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</si>
  <si>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</si>
  <si>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</si>
  <si>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</si>
  <si>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</si>
  <si>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</si>
  <si>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</si>
  <si>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</si>
  <si>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</si>
  <si>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</si>
  <si>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</si>
  <si>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</si>
  <si>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</si>
  <si>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</si>
  <si>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</si>
  <si>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</si>
  <si>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</si>
  <si>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</si>
  <si>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</si>
  <si>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</si>
  <si>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</si>
  <si>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</si>
  <si>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</si>
  <si>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</si>
  <si>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</si>
  <si>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</si>
  <si>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</si>
  <si>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</si>
  <si>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</si>
  <si>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</si>
  <si>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</si>
  <si>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</si>
  <si>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</si>
  <si>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</si>
  <si>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</si>
  <si>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</si>
  <si>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</si>
  <si>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</si>
  <si>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</si>
  <si>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</si>
  <si>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</si>
  <si>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</si>
  <si>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</si>
  <si>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</si>
  <si>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</si>
  <si>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</si>
  <si>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</si>
  <si>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</si>
  <si>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</si>
  <si>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</si>
  <si>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</si>
  <si>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</si>
  <si>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</si>
  <si>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</si>
  <si>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</si>
  <si>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</si>
  <si>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</si>
  <si>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</si>
  <si>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</si>
  <si>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</si>
  <si>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</si>
  <si>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</si>
  <si>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</si>
  <si>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</si>
  <si>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</si>
  <si>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</si>
  <si>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</si>
  <si>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</si>
  <si>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</si>
  <si>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</si>
  <si>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</si>
  <si>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</si>
  <si>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</si>
  <si>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</si>
  <si>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</si>
  <si>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</si>
  <si>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</si>
  <si>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</si>
  <si>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</si>
  <si>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</si>
  <si>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</si>
  <si>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</si>
  <si>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</si>
  <si>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</si>
  <si>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</si>
  <si>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</si>
  <si>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</si>
  <si>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</si>
  <si>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</si>
  <si>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</si>
  <si>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</si>
  <si>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</si>
  <si>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</si>
  <si>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</si>
  <si>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</si>
  <si>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</si>
  <si>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</si>
  <si>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</si>
  <si>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</si>
  <si>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</si>
  <si>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</si>
  <si>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</si>
  <si>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</si>
  <si>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</si>
  <si>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</si>
  <si>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</si>
  <si>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</si>
  <si>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</si>
  <si>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</si>
  <si>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</si>
  <si>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</si>
  <si>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</si>
  <si>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</si>
  <si>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</si>
  <si>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</si>
  <si>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</si>
  <si>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</si>
  <si>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</si>
  <si>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</si>
  <si>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</si>
  <si>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</si>
  <si>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</si>
  <si>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</si>
  <si>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</si>
  <si>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</si>
  <si>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</si>
  <si>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</si>
  <si>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</si>
  <si>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</si>
  <si>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</si>
  <si>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</si>
  <si>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</si>
  <si>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</si>
  <si>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</si>
  <si>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</si>
  <si>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</si>
  <si>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</si>
  <si>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</si>
  <si>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</si>
  <si>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</si>
  <si>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</si>
  <si>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</si>
  <si>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</si>
  <si>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</si>
  <si>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</si>
  <si>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</si>
  <si>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</si>
  <si>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</si>
  <si>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</si>
  <si>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</si>
  <si>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</si>
  <si>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</si>
  <si>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</si>
  <si>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</si>
  <si>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</si>
  <si>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</si>
  <si>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</si>
  <si>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</si>
  <si>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</si>
  <si>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</si>
  <si>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</si>
  <si>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</si>
  <si>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</si>
  <si>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</si>
  <si>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</si>
  <si>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</si>
  <si>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</si>
  <si>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</si>
  <si>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</si>
  <si>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</si>
  <si>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</si>
  <si>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</si>
  <si>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</si>
  <si>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</si>
  <si>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</si>
  <si>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</si>
  <si>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</si>
  <si>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</si>
  <si>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</si>
  <si>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</si>
  <si>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</si>
  <si>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</si>
  <si>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</si>
  <si>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</si>
  <si>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</si>
  <si>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</si>
  <si>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</si>
  <si>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</si>
  <si>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</si>
  <si>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</si>
  <si>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</si>
  <si>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</si>
  <si>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</si>
  <si>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</si>
  <si>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</si>
  <si>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</si>
  <si>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</si>
  <si>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</si>
  <si>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</si>
  <si>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</si>
  <si>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</si>
  <si>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</si>
  <si>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</si>
  <si>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</si>
  <si>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</si>
  <si>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</si>
  <si>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</si>
  <si>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</si>
  <si>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</si>
  <si>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</si>
  <si>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</si>
  <si>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</si>
  <si>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</si>
  <si>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</si>
  <si>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</si>
  <si>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</si>
  <si>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</si>
  <si>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</si>
  <si>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</si>
  <si>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</si>
  <si>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</si>
  <si>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</si>
  <si>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</si>
  <si>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</si>
  <si>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</si>
  <si>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</si>
  <si>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</si>
  <si>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</si>
  <si>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</si>
  <si>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</si>
  <si>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</si>
  <si>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</si>
  <si>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</si>
  <si>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</si>
  <si>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</si>
  <si>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</si>
  <si>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</si>
  <si>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</si>
  <si>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</si>
  <si>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</si>
  <si>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</si>
  <si>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</si>
  <si>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</si>
  <si>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</si>
  <si>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</si>
  <si>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</si>
  <si>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</si>
  <si>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</si>
  <si>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</si>
  <si>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</si>
  <si>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</si>
  <si>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</si>
  <si>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</si>
  <si>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</si>
  <si>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</si>
  <si>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</si>
  <si>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</si>
  <si>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</si>
  <si>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</si>
  <si>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</si>
  <si>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</si>
  <si>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</si>
  <si>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</si>
  <si>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</si>
  <si>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</si>
  <si>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</si>
  <si>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</si>
  <si>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</si>
  <si>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</si>
  <si>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</si>
  <si>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</si>
  <si>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</si>
  <si>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</si>
  <si>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</si>
  <si>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</si>
  <si>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</si>
  <si>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</si>
  <si>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</si>
  <si>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</si>
  <si>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</si>
  <si>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</si>
  <si>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</si>
  <si>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</si>
  <si>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</si>
  <si>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</si>
  <si>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</si>
  <si>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</si>
  <si>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</si>
  <si>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</si>
  <si>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</si>
  <si>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</si>
  <si>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</si>
  <si>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</si>
  <si>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</si>
  <si>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</si>
  <si>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</si>
  <si>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</si>
  <si>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</si>
  <si>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</si>
  <si>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</si>
  <si>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</si>
  <si>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</si>
  <si>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</si>
  <si>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</si>
  <si>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</si>
  <si>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</si>
  <si>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</si>
  <si>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</si>
  <si>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</si>
  <si>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</si>
  <si>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</si>
  <si>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</si>
  <si>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</si>
  <si>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</si>
  <si>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</si>
  <si>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</si>
  <si>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</si>
  <si>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</si>
  <si>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</si>
  <si>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</si>
  <si>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</si>
  <si>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</si>
  <si>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</si>
  <si>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</si>
  <si>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</si>
  <si>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</si>
  <si>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</si>
  <si>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</si>
  <si>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</si>
  <si>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</si>
  <si>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</si>
  <si>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</si>
  <si>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</si>
  <si>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</si>
  <si>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</si>
  <si>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</si>
  <si>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</si>
  <si>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</si>
  <si>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</si>
  <si>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</si>
  <si>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</si>
  <si>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</si>
  <si>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</si>
  <si>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</si>
  <si>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</si>
  <si>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</si>
  <si>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</si>
  <si>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</si>
  <si>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</si>
  <si>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</si>
  <si>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</si>
  <si>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</si>
  <si>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</si>
  <si>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</si>
  <si>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</si>
  <si>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</si>
  <si>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</si>
  <si>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</si>
  <si>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</si>
  <si>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</si>
  <si>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</si>
  <si>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</si>
  <si>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</si>
  <si>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</si>
  <si>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</si>
  <si>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</si>
  <si>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</si>
  <si>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</si>
  <si>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</si>
  <si>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</si>
  <si>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</si>
  <si>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</si>
  <si>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</si>
  <si>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</si>
  <si>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</si>
  <si>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</si>
  <si>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</si>
  <si>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</si>
  <si>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</si>
  <si>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</si>
  <si>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</si>
  <si>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</si>
  <si>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</si>
  <si>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</si>
  <si>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</si>
  <si>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</si>
  <si>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</si>
  <si>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</si>
  <si>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</si>
  <si>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</si>
  <si>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</si>
  <si>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</si>
  <si>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</si>
  <si>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</si>
  <si>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</si>
  <si>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</si>
  <si>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</si>
  <si>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</si>
  <si>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</si>
  <si>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</si>
  <si>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</si>
  <si>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</si>
  <si>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</si>
  <si>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</si>
  <si>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</si>
  <si>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</si>
  <si>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</si>
  <si>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</si>
  <si>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</si>
  <si>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</si>
  <si>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</si>
  <si>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</si>
  <si>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</si>
  <si>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</si>
  <si>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</si>
  <si>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</si>
  <si>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</si>
  <si>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</si>
  <si>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</si>
  <si>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</si>
  <si>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</si>
  <si>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</si>
  <si>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</si>
  <si>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</si>
  <si>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</si>
  <si>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</si>
  <si>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</si>
  <si>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</si>
  <si>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</si>
  <si>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</si>
  <si>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</si>
  <si>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</si>
  <si>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</si>
  <si>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</si>
  <si>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</si>
  <si>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</si>
  <si>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</si>
  <si>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</si>
  <si>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</si>
  <si>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</si>
  <si>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</si>
  <si>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</si>
  <si>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</si>
  <si>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</si>
  <si>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</si>
  <si>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</si>
  <si>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</si>
  <si>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</si>
  <si>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</si>
  <si>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</si>
  <si>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</si>
  <si>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</si>
  <si>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</si>
  <si>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</si>
  <si>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</si>
  <si>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</si>
  <si>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</si>
  <si>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</si>
  <si>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</si>
  <si>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</si>
  <si>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</si>
  <si>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</si>
  <si>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</si>
  <si>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</si>
  <si>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</si>
  <si>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</si>
  <si>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</si>
  <si>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</si>
  <si>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</si>
  <si>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</si>
  <si>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</si>
  <si>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</si>
  <si>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</si>
  <si>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</si>
  <si>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</si>
  <si>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</si>
  <si>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</si>
  <si>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</si>
  <si>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</si>
  <si>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</si>
  <si>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</si>
  <si>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</si>
  <si>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</si>
  <si>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</si>
  <si>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</si>
  <si>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</si>
  <si>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</si>
  <si>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</si>
  <si>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</si>
  <si>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</si>
  <si>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</si>
  <si>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</si>
  <si>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</si>
  <si>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</si>
  <si>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</si>
  <si>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</si>
  <si>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</si>
  <si>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</si>
  <si>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</si>
  <si>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</si>
  <si>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</si>
  <si>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</si>
  <si>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</si>
  <si>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</si>
  <si>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</si>
  <si>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</si>
  <si>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</si>
  <si>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</si>
  <si>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</si>
  <si>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</si>
  <si>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</si>
  <si>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</si>
  <si>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</si>
  <si>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</si>
  <si>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</si>
  <si>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</si>
  <si>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</si>
  <si>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</si>
  <si>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</si>
  <si>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</si>
  <si>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</si>
  <si>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</si>
  <si>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</si>
  <si>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</si>
  <si>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</si>
  <si>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</si>
  <si>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</si>
  <si>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</si>
  <si>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</si>
  <si>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</si>
  <si>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</si>
  <si>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</si>
  <si>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</si>
  <si>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</si>
  <si>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</si>
  <si>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</si>
  <si>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</si>
  <si>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</si>
  <si>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</si>
  <si>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</si>
  <si>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</si>
  <si>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</si>
  <si>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</si>
  <si>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</si>
  <si>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</si>
  <si>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</si>
  <si>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</si>
  <si>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</si>
  <si>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</si>
  <si>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</si>
  <si>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</si>
  <si>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</si>
  <si>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</si>
  <si>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</si>
  <si>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</si>
  <si>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</si>
  <si>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</si>
  <si>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</si>
  <si>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</si>
  <si>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</si>
  <si>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</si>
  <si>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</si>
  <si>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</si>
  <si>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</si>
  <si>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</si>
  <si>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</si>
  <si>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</si>
  <si>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</si>
  <si>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</si>
  <si>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</si>
  <si>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</si>
  <si>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</si>
  <si>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</si>
  <si>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</si>
  <si>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</si>
  <si>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</si>
  <si>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</si>
  <si>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</si>
  <si>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</si>
  <si>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</si>
  <si>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</si>
  <si>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</si>
  <si>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</si>
  <si>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</si>
  <si>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</si>
  <si>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</si>
  <si>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</si>
  <si>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</si>
  <si>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</si>
  <si>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</si>
  <si>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</si>
  <si>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</si>
  <si>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</si>
  <si>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</si>
  <si>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</si>
  <si>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</si>
  <si>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</si>
  <si>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</si>
  <si>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</si>
  <si>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</si>
  <si>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</si>
  <si>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</si>
  <si>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</si>
  <si>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</si>
  <si>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</si>
  <si>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</si>
  <si>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</si>
  <si>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</si>
  <si>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</si>
  <si>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</si>
  <si>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</si>
  <si>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</si>
  <si>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</si>
  <si>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</si>
  <si>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</si>
  <si>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</si>
  <si>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</si>
  <si>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</si>
  <si>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</si>
  <si>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</si>
  <si>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</si>
  <si>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</si>
  <si>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</si>
  <si>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</si>
  <si>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</si>
  <si>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</si>
  <si>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</si>
  <si>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</si>
  <si>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</si>
  <si>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</si>
  <si>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</si>
  <si>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</si>
  <si>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</si>
  <si>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</si>
  <si>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</si>
  <si>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</si>
  <si>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</si>
  <si>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</si>
  <si>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</si>
  <si>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</si>
  <si>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</si>
  <si>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</si>
  <si>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</si>
  <si>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</si>
  <si>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</si>
  <si>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</si>
  <si>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</si>
  <si>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</si>
  <si>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</si>
  <si>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</si>
  <si>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</si>
  <si>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</si>
  <si>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</si>
  <si>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</si>
  <si>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</si>
  <si>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</si>
  <si>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</si>
  <si>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</si>
  <si>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</si>
  <si>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</si>
  <si>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</si>
  <si>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</si>
  <si>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</si>
  <si>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</si>
  <si>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</si>
  <si>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</si>
  <si>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</si>
  <si>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</si>
  <si>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</si>
  <si>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</si>
  <si>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</si>
  <si>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</si>
  <si>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</si>
  <si>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</si>
  <si>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</si>
  <si>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</si>
  <si>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</si>
  <si>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</si>
  <si>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</si>
  <si>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</si>
  <si>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</si>
  <si>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</si>
  <si>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</si>
  <si>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</si>
  <si>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</si>
  <si>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</si>
  <si>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</si>
  <si>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</si>
  <si>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</si>
  <si>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</si>
  <si>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</si>
  <si>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</si>
  <si>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</si>
  <si>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</si>
  <si>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</si>
  <si>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</si>
  <si>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</si>
  <si>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</si>
  <si>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</si>
  <si>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</si>
  <si>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</si>
  <si>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</si>
  <si>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</si>
  <si>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</si>
  <si>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</si>
  <si>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</si>
  <si>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</si>
  <si>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</si>
  <si>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</si>
  <si>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</si>
  <si>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</si>
  <si>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</si>
  <si>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</si>
  <si>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</si>
  <si>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</si>
  <si>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</si>
  <si>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</si>
  <si>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</si>
  <si>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</si>
  <si>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</si>
  <si>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</si>
  <si>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</si>
  <si>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</si>
  <si>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</si>
  <si>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</si>
  <si>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</si>
  <si>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</si>
  <si>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</si>
  <si>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</si>
  <si>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</si>
  <si>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</si>
  <si>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</si>
  <si>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</si>
  <si>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</si>
  <si>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</si>
  <si>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</si>
  <si>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</si>
  <si>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</si>
  <si>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</si>
  <si>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</si>
  <si>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</si>
  <si>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</si>
  <si>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</si>
  <si>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</si>
  <si>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</si>
  <si>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</si>
  <si>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</si>
  <si>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</si>
  <si>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</si>
  <si>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</si>
  <si>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</si>
  <si>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</si>
  <si>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</si>
  <si>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</si>
  <si>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</si>
  <si>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</si>
  <si>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</si>
  <si>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</si>
  <si>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</si>
  <si>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</si>
  <si>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</si>
  <si>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</si>
  <si>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</si>
  <si>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</si>
  <si>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</si>
  <si>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</si>
  <si>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</si>
  <si>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</si>
  <si>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</si>
  <si>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</si>
  <si>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</si>
  <si>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</si>
  <si>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</si>
  <si>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</si>
  <si>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</si>
  <si>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</si>
  <si>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</si>
  <si>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</si>
  <si>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</si>
  <si>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</si>
  <si>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</si>
  <si>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</si>
  <si>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</si>
  <si>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</si>
  <si>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</si>
  <si>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</si>
  <si>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</si>
  <si>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</si>
  <si>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</si>
  <si>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</si>
  <si>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</si>
  <si>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</si>
  <si>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</si>
  <si>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</si>
  <si>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</si>
  <si>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</si>
  <si>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</si>
  <si>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</si>
  <si>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</si>
  <si>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</si>
  <si>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</si>
  <si>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</si>
  <si>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</si>
  <si>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</si>
  <si>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</si>
  <si>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</si>
  <si>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</si>
  <si>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</si>
  <si>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</si>
  <si>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</si>
  <si>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</si>
  <si>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</si>
  <si>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</si>
  <si>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</si>
  <si>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</si>
  <si>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</si>
  <si>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</si>
  <si>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</si>
  <si>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</si>
  <si>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</si>
  <si>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</si>
  <si>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</si>
  <si>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</si>
  <si>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</si>
  <si>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</si>
  <si>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</si>
  <si>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</si>
  <si>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</si>
  <si>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</si>
  <si>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</si>
  <si>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</si>
  <si>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</si>
  <si>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</si>
  <si>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</si>
  <si>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</si>
  <si>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</si>
  <si>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</si>
  <si>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</si>
  <si>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</si>
  <si>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</si>
  <si>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</si>
  <si>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</si>
  <si>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</si>
  <si>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</si>
  <si>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</si>
  <si>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</si>
  <si>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</si>
  <si>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</si>
  <si>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</si>
  <si>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</si>
  <si>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</si>
  <si>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</si>
  <si>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</si>
  <si>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</si>
  <si>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</si>
  <si>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</si>
  <si>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</si>
  <si>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</si>
  <si>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</si>
  <si>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</si>
  <si>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</si>
  <si>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</si>
  <si>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</si>
  <si>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</si>
  <si>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</si>
  <si>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</si>
  <si>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</si>
  <si>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</si>
  <si>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</si>
  <si>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</si>
  <si>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</si>
  <si>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</si>
  <si>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</si>
  <si>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</si>
  <si>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</si>
  <si>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</si>
  <si>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</si>
  <si>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</si>
  <si>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</si>
  <si>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</si>
  <si>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</si>
  <si>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</si>
  <si>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</si>
  <si>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</si>
  <si>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</si>
  <si>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</si>
  <si>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</si>
  <si>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</si>
  <si>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</si>
  <si>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</si>
  <si>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</si>
  <si>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</si>
  <si>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</si>
  <si>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</si>
  <si>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</si>
  <si>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</si>
  <si>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</si>
  <si>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</si>
  <si>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</si>
  <si>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</si>
  <si>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</si>
  <si>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</si>
  <si>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</si>
  <si>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</si>
  <si>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</si>
  <si>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</si>
  <si>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</si>
  <si>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</si>
  <si>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</si>
  <si>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</si>
  <si>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</si>
  <si>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</si>
  <si>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</si>
  <si>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</si>
  <si>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</si>
  <si>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</si>
  <si>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</si>
  <si>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</si>
  <si>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</si>
  <si>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</si>
  <si>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</si>
  <si>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</si>
  <si>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</si>
  <si>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</si>
  <si>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</si>
  <si>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</si>
  <si>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</si>
  <si>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</si>
  <si>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</si>
  <si>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</si>
  <si>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</si>
  <si>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</si>
  <si>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</si>
  <si>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</si>
  <si>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</si>
  <si>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</si>
  <si>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</si>
  <si>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</si>
  <si>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</si>
  <si>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</si>
  <si>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</si>
  <si>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</si>
  <si>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</si>
  <si>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</si>
  <si>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</si>
  <si>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</si>
  <si>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</si>
  <si>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</si>
  <si>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</si>
  <si>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</si>
  <si>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</si>
  <si>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</si>
  <si>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</si>
  <si>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</si>
  <si>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</si>
  <si>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</si>
  <si>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</si>
  <si>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</si>
  <si>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</si>
  <si>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</si>
  <si>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</si>
  <si>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</si>
  <si>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</si>
  <si>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</si>
  <si>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</si>
  <si>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</si>
  <si>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</si>
  <si>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</si>
  <si>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</si>
  <si>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</si>
  <si>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</si>
  <si>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</si>
  <si>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</si>
  <si>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</si>
  <si>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</si>
  <si>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</si>
  <si>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</si>
  <si>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</si>
  <si>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</si>
  <si>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</si>
  <si>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</si>
  <si>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</si>
  <si>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</si>
  <si>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</si>
  <si>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</si>
  <si>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</si>
  <si>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</si>
  <si>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</si>
  <si>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</si>
  <si>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</si>
  <si>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</si>
  <si>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</si>
  <si>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</si>
  <si>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</si>
  <si>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</si>
  <si>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</si>
  <si>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</si>
  <si>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</si>
  <si>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</si>
  <si>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</si>
  <si>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</si>
  <si>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</si>
  <si>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</si>
  <si>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</si>
  <si>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</si>
  <si>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</si>
  <si>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</si>
  <si>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</si>
  <si>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</si>
  <si>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</si>
  <si>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</si>
  <si>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</si>
  <si>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</si>
  <si>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</si>
  <si>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</si>
  <si>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</si>
  <si>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</si>
  <si>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</si>
  <si>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</si>
  <si>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</si>
  <si>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</si>
  <si>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</si>
  <si>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</si>
  <si>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</si>
  <si>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</si>
  <si>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</si>
  <si>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</si>
  <si>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</si>
  <si>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</si>
  <si>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</si>
  <si>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</si>
  <si>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</si>
  <si>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</si>
  <si>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</si>
  <si>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</si>
  <si>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</si>
  <si>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</si>
  <si>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</si>
  <si>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</si>
  <si>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</si>
  <si>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</si>
  <si>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</si>
  <si>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</si>
  <si>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</si>
  <si>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</si>
  <si>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</si>
  <si>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</si>
  <si>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</si>
  <si>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</si>
  <si>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</si>
  <si>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</si>
  <si>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</si>
  <si>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</si>
  <si>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</si>
  <si>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</si>
  <si>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</si>
  <si>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</si>
  <si>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</si>
  <si>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</si>
  <si>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</si>
  <si>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</si>
  <si>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</si>
  <si>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</si>
  <si>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</si>
  <si>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</si>
  <si>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</si>
  <si>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</si>
  <si>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</si>
  <si>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</si>
  <si>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</si>
  <si>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</si>
  <si>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</si>
  <si>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</si>
  <si>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</si>
  <si>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</si>
  <si>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</si>
  <si>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</si>
  <si>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</si>
  <si>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</si>
  <si>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</si>
  <si>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</si>
  <si>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</si>
  <si>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</si>
  <si>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</si>
  <si>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</si>
  <si>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</si>
  <si>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</si>
  <si>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</si>
  <si>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</si>
  <si>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</si>
  <si>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</si>
  <si>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</si>
  <si>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</si>
  <si>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</si>
  <si>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</si>
  <si>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</si>
  <si>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</si>
  <si>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</si>
  <si>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</si>
  <si>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</si>
  <si>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</si>
  <si>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</si>
  <si>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</si>
  <si>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</si>
  <si>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</si>
  <si>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</si>
  <si>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</si>
  <si>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</si>
  <si>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</si>
  <si>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</si>
  <si>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</si>
  <si>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</si>
  <si>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</si>
  <si>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</si>
  <si>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</si>
  <si>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</si>
  <si>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</si>
  <si>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</si>
  <si>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</si>
  <si>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</si>
  <si>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</si>
  <si>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</si>
  <si>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</si>
  <si>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</si>
  <si>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</si>
  <si>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</si>
  <si>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</si>
  <si>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</si>
  <si>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</si>
  <si>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</si>
  <si>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</si>
  <si>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</si>
  <si>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</si>
  <si>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</si>
  <si>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</si>
  <si>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</si>
  <si>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</si>
  <si>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</si>
  <si>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</si>
  <si>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</si>
  <si>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</si>
  <si>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</si>
  <si>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</si>
  <si>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</si>
  <si>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</si>
  <si>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</si>
  <si>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</si>
  <si>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</si>
  <si>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</si>
  <si>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</si>
  <si>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</si>
  <si>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</si>
  <si>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</si>
  <si>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</si>
  <si>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</si>
  <si>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</si>
  <si>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</si>
  <si>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</si>
  <si>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</si>
  <si>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</si>
  <si>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</si>
  <si>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</si>
  <si>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</si>
  <si>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</si>
  <si>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</si>
  <si>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</si>
  <si>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</si>
  <si>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</si>
  <si>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</si>
  <si>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</si>
  <si>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</si>
  <si>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</si>
  <si>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</si>
  <si>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</si>
  <si>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</si>
  <si>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</si>
  <si>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</si>
  <si>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</si>
  <si>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</si>
  <si>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</si>
  <si>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</si>
  <si>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</si>
  <si>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</si>
  <si>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</si>
  <si>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</si>
  <si>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</si>
  <si>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</si>
  <si>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</si>
  <si>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</si>
  <si>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</si>
  <si>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</si>
  <si>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</si>
  <si>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</si>
  <si>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</si>
  <si>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</si>
  <si>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</si>
  <si>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</si>
  <si>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</si>
  <si>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</si>
  <si>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</si>
  <si>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</si>
  <si>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</si>
  <si>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</si>
  <si>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</si>
  <si>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</si>
  <si>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</si>
  <si>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</si>
  <si>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</si>
  <si>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</si>
  <si>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</si>
  <si>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</si>
  <si>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</si>
  <si>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</si>
  <si>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</si>
  <si>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</si>
  <si>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</si>
  <si>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</si>
  <si>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</si>
  <si>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</si>
  <si>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</si>
  <si>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</si>
  <si>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</si>
  <si>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</si>
  <si>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</si>
  <si>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</si>
  <si>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</si>
  <si>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</si>
  <si>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</si>
  <si>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</si>
  <si>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</si>
  <si>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</si>
  <si>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</si>
  <si>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</si>
  <si>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</si>
  <si>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</si>
  <si>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</si>
  <si>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</si>
  <si>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</si>
  <si>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</si>
  <si>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</si>
  <si>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</si>
  <si>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</si>
  <si>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</si>
  <si>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</si>
  <si>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</si>
  <si>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</si>
  <si>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</si>
  <si>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</si>
  <si>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</si>
  <si>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</si>
  <si>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</si>
  <si>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</si>
  <si>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</si>
  <si>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</si>
  <si>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</si>
  <si>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</si>
  <si>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</si>
  <si>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</si>
  <si>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</si>
  <si>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</si>
  <si>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</si>
  <si>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</si>
  <si>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</si>
  <si>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</si>
  <si>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</si>
  <si>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</si>
  <si>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</si>
  <si>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</si>
  <si>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</si>
  <si>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</si>
  <si>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</si>
  <si>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</si>
  <si>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</si>
  <si>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</si>
  <si>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</si>
  <si>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</si>
  <si>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</si>
  <si>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</si>
  <si>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</si>
  <si>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</si>
  <si>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</si>
  <si>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</si>
  <si>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</si>
  <si>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</si>
  <si>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</si>
  <si>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</si>
  <si>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</si>
  <si>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</si>
  <si>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</si>
  <si>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</si>
  <si>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</si>
  <si>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</si>
  <si>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</si>
  <si>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</si>
  <si>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</si>
  <si>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</si>
  <si>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</si>
  <si>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</si>
  <si>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</si>
  <si>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</si>
  <si>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</si>
  <si>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</si>
  <si>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</si>
  <si>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</si>
  <si>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</si>
  <si>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</si>
  <si>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</si>
  <si>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</si>
  <si>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</si>
  <si>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</si>
  <si>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</si>
  <si>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</si>
  <si>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</si>
  <si>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</si>
  <si>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</si>
  <si>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</si>
  <si>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</si>
  <si>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</si>
  <si>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</si>
  <si>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</si>
  <si>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</si>
  <si>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</si>
  <si>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</si>
  <si>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</si>
  <si>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</si>
  <si>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</si>
  <si>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</si>
  <si>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</si>
  <si>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</si>
  <si>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</si>
  <si>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</si>
  <si>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</si>
  <si>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</si>
  <si>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</si>
  <si>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</si>
  <si>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</si>
  <si>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</si>
  <si>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</si>
  <si>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</si>
  <si>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</si>
  <si>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</si>
  <si>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</si>
  <si>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</si>
  <si>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</si>
  <si>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</si>
  <si>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</si>
  <si>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</si>
  <si>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</si>
  <si>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</si>
  <si>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</si>
  <si>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</si>
  <si>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</si>
  <si>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</si>
  <si>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</si>
  <si>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</si>
  <si>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</si>
  <si>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</si>
  <si>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</si>
  <si>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</si>
  <si>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</si>
  <si>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</si>
  <si>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</si>
  <si>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</si>
  <si>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</si>
  <si>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</si>
  <si>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</si>
  <si>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</si>
  <si>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</si>
  <si>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</si>
  <si>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</si>
  <si>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</si>
  <si>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</si>
  <si>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</si>
  <si>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</si>
  <si>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</si>
  <si>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</si>
  <si>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</si>
  <si>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</si>
  <si>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</si>
  <si>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</si>
  <si>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</si>
  <si>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</si>
  <si>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</si>
  <si>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</si>
  <si>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</si>
  <si>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</si>
  <si>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</si>
  <si>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</si>
  <si>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</si>
  <si>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</si>
  <si>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</si>
  <si>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</si>
  <si>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</si>
  <si>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</si>
  <si>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</si>
  <si>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</si>
  <si>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</si>
  <si>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</si>
  <si>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</si>
  <si>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</si>
  <si>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</si>
  <si>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</si>
  <si>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</si>
  <si>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</si>
  <si>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</si>
  <si>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</si>
  <si>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</si>
  <si>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</si>
  <si>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</si>
  <si>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</si>
  <si>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</si>
  <si>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</si>
  <si>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</si>
  <si>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</si>
  <si>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</si>
  <si>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</si>
  <si>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</si>
  <si>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</si>
  <si>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</si>
  <si>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</si>
  <si>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</si>
  <si>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</si>
  <si>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</si>
  <si>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</si>
  <si>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</si>
  <si>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</si>
  <si>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</si>
  <si>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</si>
  <si>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</si>
  <si>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</si>
  <si>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</si>
  <si>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</si>
  <si>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</si>
  <si>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</si>
  <si>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</si>
  <si>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</si>
  <si>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</si>
  <si>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</si>
  <si>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</si>
  <si>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</si>
  <si>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</si>
  <si>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</si>
  <si>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</si>
  <si>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</si>
  <si>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</si>
  <si>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</si>
  <si>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</si>
  <si>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</si>
  <si>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</si>
  <si>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</si>
  <si>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</si>
  <si>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</si>
  <si>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</si>
  <si>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</si>
  <si>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</si>
  <si>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</si>
  <si>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</si>
  <si>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</si>
  <si>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</si>
  <si>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</si>
  <si>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</si>
  <si>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</si>
  <si>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</si>
  <si>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</si>
  <si>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</si>
  <si>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</si>
  <si>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</si>
  <si>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</si>
  <si>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</si>
  <si>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</si>
  <si>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</si>
  <si>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</si>
  <si>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</si>
  <si>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</si>
  <si>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</si>
  <si>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</si>
  <si>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</si>
  <si>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</si>
  <si>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</si>
  <si>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</si>
  <si>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</si>
  <si>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</si>
  <si>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</si>
  <si>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</si>
  <si>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</si>
  <si>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</si>
  <si>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</si>
  <si>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</si>
  <si>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</si>
  <si>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</si>
  <si>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</si>
  <si>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</si>
  <si>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</si>
  <si>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</si>
  <si>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</si>
  <si>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</si>
  <si>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</si>
  <si>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</si>
  <si>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</si>
  <si>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</si>
  <si>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</si>
  <si>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</si>
  <si>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</si>
  <si>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</si>
  <si>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</si>
  <si>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</si>
  <si>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</si>
  <si>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</si>
  <si>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</si>
  <si>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</si>
  <si>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</si>
  <si>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</si>
  <si>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</si>
  <si>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</si>
  <si>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</si>
  <si>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</si>
  <si>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</si>
  <si>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</si>
  <si>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</si>
  <si>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</si>
  <si>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</si>
  <si>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</si>
  <si>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</si>
  <si>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</si>
  <si>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</si>
  <si>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</si>
  <si>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</si>
  <si>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</si>
  <si>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</si>
  <si>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</si>
  <si>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</si>
  <si>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</si>
  <si>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</si>
  <si>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</si>
  <si>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</si>
  <si>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</si>
  <si>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</si>
  <si>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</si>
  <si>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</si>
  <si>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</si>
  <si>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</si>
  <si>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</si>
  <si>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</si>
  <si>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</si>
  <si>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</si>
  <si>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</si>
  <si>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</si>
  <si>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</si>
  <si>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</si>
  <si>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</si>
  <si>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</si>
  <si>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</si>
  <si>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</si>
  <si>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</si>
  <si>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</si>
  <si>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</si>
  <si>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</si>
  <si>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</si>
  <si>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</si>
  <si>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</si>
  <si>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</si>
  <si>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</si>
  <si>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</si>
  <si>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</si>
  <si>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</si>
  <si>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</si>
  <si>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</si>
  <si>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</si>
  <si>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</si>
  <si>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</si>
  <si>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</si>
  <si>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</si>
  <si>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</si>
  <si>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</si>
  <si>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</si>
  <si>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</si>
  <si>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</si>
  <si>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</si>
  <si>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</si>
  <si>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</si>
  <si>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</si>
  <si>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</si>
  <si>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</si>
  <si>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</si>
  <si>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</si>
  <si>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</si>
  <si>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</si>
  <si>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</si>
  <si>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</si>
  <si>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</si>
  <si>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</si>
  <si>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</si>
  <si>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</si>
  <si>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</si>
  <si>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</si>
  <si>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</si>
  <si>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</si>
  <si>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</si>
  <si>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</si>
  <si>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</si>
  <si>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</si>
  <si>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</si>
  <si>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</si>
  <si>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</si>
  <si>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</si>
  <si>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</si>
  <si>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</si>
  <si>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</si>
  <si>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</si>
  <si>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</si>
  <si>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</si>
  <si>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</si>
  <si>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</si>
  <si>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</si>
  <si>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</si>
  <si>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</si>
  <si>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</si>
  <si>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</si>
  <si>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</si>
  <si>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</si>
  <si>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</si>
  <si>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</si>
  <si>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</si>
  <si>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</si>
  <si>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</si>
  <si>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</si>
  <si>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</si>
  <si>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</si>
  <si>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</si>
  <si>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</si>
  <si>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</si>
  <si>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</si>
  <si>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</si>
  <si>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</si>
  <si>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</si>
  <si>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</si>
  <si>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</si>
  <si>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</si>
  <si>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</si>
  <si>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</si>
  <si>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</si>
  <si>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</si>
  <si>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</si>
  <si>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</si>
  <si>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</si>
  <si>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</si>
  <si>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</si>
  <si>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</si>
  <si>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</si>
  <si>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</si>
  <si>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</si>
  <si>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</si>
  <si>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</si>
  <si>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</si>
  <si>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</si>
  <si>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</si>
  <si>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</si>
  <si>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</si>
  <si>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</si>
  <si>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</si>
  <si>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</si>
  <si>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</si>
  <si>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</si>
  <si>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</si>
  <si>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</si>
  <si>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</si>
  <si>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</si>
  <si>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</si>
  <si>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</si>
  <si>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</si>
  <si>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</si>
  <si>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</si>
  <si>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</si>
  <si>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</si>
  <si>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</si>
  <si>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</si>
  <si>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</si>
  <si>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</si>
  <si>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</si>
  <si>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</si>
  <si>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</si>
  <si>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</si>
  <si>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</si>
  <si>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</si>
  <si>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</si>
  <si>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</si>
  <si>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</si>
  <si>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</si>
  <si>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</si>
  <si>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</si>
  <si>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</si>
  <si>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</si>
  <si>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</si>
  <si>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</si>
  <si>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</si>
  <si>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</si>
  <si>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</si>
  <si>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</si>
  <si>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</si>
  <si>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</si>
  <si>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</si>
  <si>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</si>
  <si>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</si>
  <si>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</si>
  <si>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</si>
  <si>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</si>
  <si>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</si>
  <si>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</si>
  <si>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</si>
  <si>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</si>
  <si>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</si>
  <si>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</si>
  <si>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</si>
  <si>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</si>
  <si>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</si>
  <si>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</si>
  <si>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</si>
  <si>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</si>
  <si>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</si>
  <si>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</si>
  <si>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</si>
  <si>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</si>
  <si>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</si>
  <si>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</si>
  <si>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</si>
  <si>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</si>
  <si>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</si>
  <si>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</si>
  <si>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</si>
  <si>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</si>
  <si>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</si>
  <si>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</si>
  <si>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</si>
  <si>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</si>
  <si>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</si>
  <si>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</si>
  <si>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</si>
  <si>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</si>
  <si>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</si>
  <si>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</si>
  <si>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</si>
  <si>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</si>
  <si>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</si>
  <si>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</si>
  <si>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</si>
  <si>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</si>
  <si>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</si>
  <si>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</si>
  <si>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</si>
  <si>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</si>
  <si>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</si>
  <si>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</si>
  <si>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</si>
  <si>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</si>
  <si>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</si>
  <si>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</si>
  <si>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</si>
  <si>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</si>
  <si>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</si>
  <si>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</si>
  <si>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</si>
  <si>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</si>
  <si>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</si>
  <si>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</si>
  <si>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</si>
  <si>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</si>
  <si>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</si>
  <si>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</si>
  <si>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</si>
  <si>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</si>
  <si>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</si>
  <si>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</si>
  <si>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</si>
  <si>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</si>
  <si>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</si>
  <si>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</si>
  <si>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</si>
  <si>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</si>
  <si>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</si>
  <si>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</si>
  <si>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</si>
  <si>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</si>
  <si>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</si>
  <si>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</si>
  <si>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</si>
  <si>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</si>
  <si>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</si>
  <si>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</si>
  <si>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</si>
  <si>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</si>
  <si>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</si>
  <si>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</si>
  <si>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</si>
  <si>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</si>
  <si>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</si>
  <si>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</si>
  <si>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</si>
  <si>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</si>
  <si>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</si>
  <si>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</si>
  <si>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</si>
  <si>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</si>
  <si>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</si>
  <si>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</si>
  <si>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</si>
  <si>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</si>
  <si>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</si>
  <si>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</si>
  <si>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</si>
  <si>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</si>
  <si>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</si>
  <si>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</si>
  <si>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</si>
  <si>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</si>
  <si>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</si>
  <si>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</si>
  <si>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</si>
  <si>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</si>
  <si>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</si>
  <si>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</si>
  <si>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</si>
  <si>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</si>
  <si>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</si>
  <si>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</si>
  <si>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</si>
  <si>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</si>
  <si>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</si>
  <si>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</si>
  <si>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</si>
  <si>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</si>
  <si>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</si>
  <si>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</si>
  <si>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</si>
  <si>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</si>
  <si>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</si>
  <si>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</si>
  <si>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</si>
  <si>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</si>
  <si>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</si>
  <si>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</si>
  <si>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</si>
  <si>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</si>
  <si>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</si>
  <si>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</si>
  <si>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</si>
  <si>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</si>
  <si>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</si>
  <si>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</si>
  <si>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</si>
  <si>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</si>
  <si>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</si>
  <si>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</si>
  <si>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</si>
  <si>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</si>
  <si>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</si>
  <si>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</si>
  <si>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</si>
  <si>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</si>
  <si>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</si>
  <si>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</si>
  <si>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</si>
  <si>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</si>
  <si>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</si>
  <si>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</si>
  <si>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</si>
  <si>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</si>
  <si>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</si>
  <si>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</si>
  <si>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</si>
  <si>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</si>
  <si>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</si>
  <si>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</si>
  <si>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</si>
  <si>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</si>
  <si>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</si>
  <si>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</si>
  <si>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</si>
  <si>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</si>
  <si>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</si>
  <si>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</si>
  <si>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</si>
  <si>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</si>
  <si>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</si>
  <si>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</si>
  <si>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</si>
  <si>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</si>
  <si>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</si>
  <si>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</si>
  <si>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</si>
  <si>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</si>
  <si>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</si>
  <si>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</si>
  <si>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</si>
  <si>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</si>
  <si>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</si>
  <si>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</si>
  <si>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</si>
  <si>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</si>
  <si>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</si>
  <si>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</si>
  <si>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</si>
  <si>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</si>
  <si>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</si>
  <si>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</si>
  <si>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</si>
  <si>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</si>
  <si>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</si>
  <si>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</si>
  <si>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</si>
  <si>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</si>
  <si>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</si>
  <si>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</si>
  <si>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</si>
  <si>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</si>
  <si>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</si>
  <si>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</si>
  <si>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</si>
  <si>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</si>
  <si>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</si>
  <si>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</si>
  <si>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</si>
  <si>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</si>
  <si>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</si>
  <si>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</si>
  <si>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</si>
  <si>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</si>
  <si>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</si>
  <si>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</si>
  <si>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</si>
  <si>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</si>
  <si>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</si>
  <si>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</si>
  <si>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</si>
  <si>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</si>
  <si>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</si>
  <si>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</si>
  <si>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</si>
  <si>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</si>
  <si>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</si>
  <si>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</si>
  <si>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</si>
  <si>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</si>
  <si>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</si>
  <si>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</si>
  <si>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</si>
  <si>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</si>
  <si>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</si>
  <si>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</si>
  <si>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</si>
  <si>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</si>
  <si>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</si>
  <si>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</si>
  <si>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</si>
  <si>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</si>
  <si>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</si>
  <si>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</si>
  <si>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</si>
  <si>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</si>
  <si>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</si>
  <si>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</si>
  <si>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</si>
  <si>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</si>
  <si>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</si>
  <si>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</si>
  <si>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</si>
  <si>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</si>
  <si>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</si>
  <si>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</si>
  <si>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</si>
  <si>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</si>
  <si>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</si>
  <si>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</si>
  <si>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</si>
  <si>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</si>
  <si>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</si>
  <si>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</si>
  <si>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</si>
  <si>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</si>
  <si>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</si>
  <si>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</si>
  <si>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</si>
  <si>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</si>
  <si>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</si>
  <si>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</si>
  <si>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</si>
  <si>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</si>
  <si>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</si>
  <si>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</si>
  <si>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</si>
  <si>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</si>
  <si>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</si>
  <si>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</si>
  <si>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</si>
  <si>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</si>
  <si>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</si>
  <si>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</si>
  <si>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</si>
  <si>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</si>
  <si>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</si>
  <si>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</si>
  <si>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</si>
  <si>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</si>
  <si>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</si>
  <si>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</si>
  <si>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</si>
  <si>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</si>
  <si>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</si>
  <si>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</si>
  <si>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</si>
  <si>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</si>
  <si>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</si>
  <si>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</si>
  <si>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</si>
  <si>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</si>
  <si>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</si>
  <si>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</si>
  <si>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</si>
  <si>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</si>
  <si>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</si>
  <si>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</si>
  <si>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</si>
  <si>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</si>
  <si>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</si>
  <si>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</si>
  <si>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</si>
  <si>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</si>
  <si>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</si>
  <si>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</si>
  <si>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</si>
  <si>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</si>
  <si>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</si>
  <si>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</si>
  <si>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</si>
  <si>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</si>
  <si>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</si>
  <si>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</si>
  <si>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</si>
  <si>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</si>
  <si>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</si>
  <si>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</si>
  <si>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</si>
  <si>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</si>
  <si>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</si>
  <si>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</si>
  <si>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</si>
  <si>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</si>
  <si>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</si>
  <si>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</si>
  <si>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</si>
  <si>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</si>
  <si>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</si>
  <si>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</si>
  <si>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</si>
  <si>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</si>
  <si>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</si>
  <si>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</si>
  <si>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</si>
  <si>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</si>
  <si>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</si>
  <si>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</si>
  <si>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</si>
  <si>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</si>
  <si>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</si>
  <si>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</si>
  <si>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</si>
  <si>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</si>
  <si>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</si>
  <si>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</si>
  <si>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</si>
  <si>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</si>
  <si>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</si>
  <si>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</si>
  <si>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</si>
  <si>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</si>
  <si>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</si>
  <si>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</si>
  <si>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</si>
  <si>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</si>
  <si>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</si>
  <si>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</si>
  <si>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</si>
  <si>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</si>
  <si>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</si>
  <si>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</si>
  <si>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</si>
  <si>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</si>
  <si>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</si>
  <si>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</si>
  <si>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</si>
  <si>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</si>
  <si>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</si>
  <si>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</si>
  <si>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</si>
  <si>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</si>
  <si>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</si>
  <si>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</si>
  <si>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</si>
  <si>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</si>
  <si>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</si>
  <si>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</si>
  <si>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</si>
  <si>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</si>
  <si>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</si>
  <si>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</si>
  <si>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</si>
  <si>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</si>
  <si>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</si>
  <si>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</si>
  <si>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</si>
  <si>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</si>
  <si>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</si>
  <si>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</si>
  <si>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</si>
  <si>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</si>
  <si>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</si>
  <si>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</si>
  <si>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</si>
  <si>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</si>
  <si>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</si>
  <si>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</si>
  <si>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</si>
  <si>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</si>
  <si>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</si>
  <si>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</si>
  <si>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</si>
  <si>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</si>
  <si>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</si>
  <si>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</si>
  <si>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</si>
  <si>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</si>
  <si>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</si>
  <si>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</si>
  <si>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</si>
  <si>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</si>
  <si>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</si>
  <si>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</si>
  <si>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</si>
  <si>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</si>
  <si>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</si>
  <si>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</si>
  <si>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</si>
  <si>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</si>
  <si>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</si>
  <si>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</si>
  <si>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</si>
  <si>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</si>
  <si>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</si>
  <si>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</si>
  <si>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</si>
  <si>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</si>
  <si>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</si>
  <si>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</si>
  <si>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</si>
  <si>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</si>
  <si>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</si>
  <si>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</si>
  <si>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</si>
  <si>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</si>
  <si>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</si>
  <si>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</si>
  <si>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</si>
  <si>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</si>
  <si>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</si>
  <si>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</si>
  <si>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</si>
  <si>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</si>
  <si>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</si>
  <si>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</si>
  <si>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</si>
  <si>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</si>
  <si>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</si>
  <si>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</si>
  <si>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</si>
  <si>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</si>
  <si>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</si>
  <si>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</si>
  <si>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</si>
  <si>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</si>
  <si>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</si>
  <si>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</si>
  <si>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</si>
  <si>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</si>
  <si>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</si>
  <si>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</si>
  <si>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</si>
  <si>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</si>
  <si>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</si>
  <si>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</si>
  <si>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</si>
  <si>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</si>
  <si>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</si>
  <si>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</si>
  <si>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</si>
  <si>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</si>
  <si>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</si>
  <si>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</si>
  <si>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</si>
  <si>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</si>
  <si>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</si>
  <si>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</si>
  <si>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</si>
  <si>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</si>
  <si>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</si>
  <si>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</si>
  <si>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</si>
  <si>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</si>
  <si>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</si>
  <si>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</si>
  <si>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</si>
  <si>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</si>
  <si>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</si>
  <si>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</si>
  <si>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</si>
  <si>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</si>
  <si>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</si>
  <si>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</si>
  <si>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</si>
  <si>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</si>
  <si>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</si>
  <si>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</si>
  <si>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</si>
  <si>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</si>
  <si>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</si>
  <si>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</si>
  <si>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</si>
  <si>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</si>
  <si>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</si>
  <si>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</si>
  <si>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</si>
  <si>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</si>
  <si>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</si>
  <si>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</si>
  <si>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</si>
  <si>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</si>
  <si>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</si>
  <si>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</si>
  <si>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</si>
  <si>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</si>
  <si>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</si>
  <si>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</si>
  <si>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</si>
  <si>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</si>
  <si>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</si>
  <si>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</si>
  <si>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</si>
  <si>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</si>
  <si>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</si>
  <si>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</si>
  <si>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</si>
  <si>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</si>
  <si>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</si>
  <si>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</si>
  <si>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</si>
  <si>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</si>
  <si>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</si>
  <si>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</si>
  <si>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</si>
  <si>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</si>
  <si>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</si>
  <si>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</si>
  <si>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</si>
  <si>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</si>
  <si>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</si>
  <si>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</si>
  <si>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</si>
  <si>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</si>
  <si>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</si>
  <si>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</si>
  <si>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</si>
  <si>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</si>
  <si>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</si>
  <si>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</si>
  <si>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</si>
  <si>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</si>
  <si>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</si>
  <si>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</si>
  <si>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</si>
  <si>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</si>
  <si>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</si>
  <si>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</si>
  <si>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</si>
  <si>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</si>
  <si>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</si>
  <si>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</si>
  <si>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</si>
  <si>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</si>
  <si>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</si>
  <si>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</si>
  <si>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</si>
  <si>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</si>
  <si>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</si>
  <si>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</si>
  <si>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</si>
  <si>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</si>
  <si>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</si>
  <si>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</si>
  <si>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</si>
  <si>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</si>
  <si>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</si>
  <si>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</si>
  <si>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</si>
  <si>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</si>
  <si>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</si>
  <si>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</si>
  <si>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</si>
  <si>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</si>
  <si>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</si>
  <si>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</si>
  <si>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</si>
  <si>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</si>
  <si>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</si>
  <si>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</si>
  <si>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</si>
  <si>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</si>
  <si>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</si>
  <si>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</si>
  <si>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</si>
  <si>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</si>
  <si>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</si>
  <si>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</si>
  <si>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</si>
  <si>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</si>
  <si>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</si>
  <si>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</si>
  <si>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</si>
  <si>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</si>
  <si>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</si>
  <si>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</si>
  <si>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</si>
  <si>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</si>
  <si>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</si>
  <si>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</si>
  <si>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</si>
  <si>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</si>
  <si>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</si>
  <si>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</si>
  <si>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</si>
  <si>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</si>
  <si>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</si>
  <si>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</si>
  <si>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</si>
  <si>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</si>
  <si>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</si>
  <si>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</si>
  <si>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</si>
  <si>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</si>
  <si>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</si>
  <si>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</si>
  <si>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</si>
  <si>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</si>
  <si>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</si>
  <si>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</si>
  <si>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</si>
  <si>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</si>
  <si>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</si>
  <si>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</si>
  <si>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</si>
  <si>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</si>
  <si>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</si>
  <si>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</si>
  <si>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</si>
  <si>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</si>
  <si>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</si>
  <si>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</si>
  <si>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</si>
  <si>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</si>
  <si>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</si>
  <si>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</si>
  <si>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</si>
  <si>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</si>
  <si>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</si>
  <si>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</si>
  <si>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</si>
  <si>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</si>
  <si>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</si>
  <si>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</si>
  <si>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</si>
  <si>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</si>
  <si>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</si>
  <si>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</si>
  <si>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</si>
  <si>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</si>
  <si>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</si>
  <si>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</si>
  <si>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</si>
  <si>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</si>
  <si>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</si>
  <si>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</si>
  <si>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</si>
  <si>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</si>
  <si>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</si>
  <si>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</si>
  <si>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</si>
  <si>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</si>
  <si>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</si>
  <si>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</si>
  <si>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</si>
  <si>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</si>
  <si>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</si>
  <si>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</si>
  <si>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</si>
  <si>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</si>
  <si>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</si>
  <si>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</si>
  <si>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</si>
  <si>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</si>
  <si>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</si>
  <si>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</si>
  <si>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</si>
  <si>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</si>
  <si>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</si>
  <si>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</si>
  <si>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</si>
  <si>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</si>
  <si>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</si>
  <si>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</si>
  <si>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</si>
  <si>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</si>
  <si>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</si>
  <si>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</si>
  <si>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</si>
  <si>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</si>
  <si>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</si>
  <si>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</si>
  <si>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</si>
  <si>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</si>
  <si>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</si>
  <si>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</si>
  <si>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</si>
  <si>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</si>
  <si>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</si>
  <si>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</si>
  <si>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</si>
  <si>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</si>
  <si>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</si>
  <si>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</si>
  <si>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</si>
  <si>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</si>
  <si>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</si>
  <si>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</si>
  <si>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</si>
  <si>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</si>
  <si>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</si>
  <si>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</si>
  <si>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</si>
  <si>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</si>
  <si>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</si>
  <si>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</si>
  <si>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</si>
  <si>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</si>
  <si>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</si>
  <si>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</si>
  <si>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</si>
  <si>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</si>
  <si>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</si>
  <si>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</si>
  <si>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</si>
  <si>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</si>
  <si>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</si>
  <si>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</si>
  <si>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</si>
  <si>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</si>
  <si>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</si>
  <si>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</si>
  <si>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</si>
  <si>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</si>
  <si>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</si>
  <si>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</si>
  <si>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</si>
  <si>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</si>
  <si>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</si>
  <si>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</si>
  <si>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</si>
  <si>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</si>
  <si>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</si>
  <si>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</si>
  <si>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</si>
  <si>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</si>
  <si>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</si>
  <si>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</si>
  <si>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</si>
  <si>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</si>
  <si>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</si>
  <si>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</si>
  <si>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</si>
  <si>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</si>
  <si>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</si>
  <si>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</si>
  <si>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</si>
  <si>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</si>
  <si>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</si>
  <si>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</si>
  <si>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</si>
  <si>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</si>
  <si>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</si>
  <si>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</si>
  <si>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</si>
  <si>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</si>
  <si>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</si>
  <si>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</si>
  <si>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</si>
  <si>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</si>
  <si>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</si>
  <si>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</si>
  <si>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</si>
  <si>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</si>
  <si>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</si>
  <si>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</si>
  <si>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</si>
  <si>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</si>
  <si>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</si>
  <si>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</si>
  <si>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</si>
  <si>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</si>
  <si>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</si>
  <si>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</si>
  <si>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</si>
  <si>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</si>
  <si>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</si>
  <si>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</si>
  <si>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</si>
  <si>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</si>
  <si>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</si>
  <si>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</si>
  <si>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</si>
  <si>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</si>
  <si>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</si>
  <si>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</si>
  <si>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</si>
  <si>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</si>
  <si>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</si>
  <si>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</si>
  <si>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</si>
  <si>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</si>
  <si>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</si>
  <si>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</si>
  <si>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</si>
  <si>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</si>
  <si>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</si>
  <si>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</si>
  <si>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</si>
  <si>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</si>
  <si>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</si>
  <si>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</si>
  <si>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</si>
  <si>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</si>
  <si>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</si>
  <si>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</si>
  <si>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</si>
  <si>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</si>
  <si>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</si>
  <si>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</si>
  <si>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</si>
  <si>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</si>
  <si>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</si>
  <si>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</si>
  <si>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</si>
  <si>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</si>
  <si>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</si>
  <si>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</si>
  <si>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</si>
  <si>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</si>
  <si>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</si>
  <si>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</si>
  <si>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</si>
  <si>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</si>
  <si>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</si>
  <si>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</si>
  <si>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</si>
  <si>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</si>
  <si>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</si>
  <si>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</si>
  <si>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</si>
  <si>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</si>
  <si>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</si>
  <si>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</si>
  <si>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</si>
  <si>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</si>
  <si>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</si>
  <si>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</si>
  <si>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</si>
  <si>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</si>
  <si>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</si>
  <si>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</si>
  <si>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</si>
  <si>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</si>
  <si>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</si>
  <si>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</si>
  <si>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</si>
  <si>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</si>
  <si>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</si>
  <si>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</si>
  <si>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</si>
  <si>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</si>
  <si>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</si>
  <si>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</si>
  <si>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</si>
  <si>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</si>
  <si>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</si>
  <si>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</si>
  <si>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</si>
  <si>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</si>
  <si>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</si>
  <si>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</si>
  <si>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</si>
  <si>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</si>
  <si>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</si>
  <si>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</si>
  <si>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</si>
  <si>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</si>
  <si>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</si>
  <si>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</si>
  <si>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</si>
  <si>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</si>
  <si>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</si>
  <si>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</si>
  <si>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</si>
  <si>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</si>
  <si>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</si>
  <si>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</si>
  <si>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</si>
  <si>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</si>
  <si>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</si>
  <si>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</si>
  <si>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</si>
  <si>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</si>
  <si>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</si>
  <si>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</si>
  <si>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</si>
  <si>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</si>
  <si>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</si>
  <si>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</si>
  <si>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</si>
  <si>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</si>
  <si>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</si>
  <si>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</si>
  <si>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</si>
  <si>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</si>
  <si>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</si>
  <si>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</si>
  <si>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</si>
  <si>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</si>
  <si>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</si>
  <si>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</si>
  <si>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</si>
  <si>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</si>
  <si>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</si>
  <si>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</si>
  <si>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</si>
  <si>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</si>
  <si>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</si>
  <si>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</si>
  <si>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</si>
  <si>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</si>
  <si>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</si>
  <si>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</si>
  <si>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</si>
  <si>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</si>
  <si>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</si>
  <si>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</si>
  <si>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</si>
  <si>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</si>
  <si>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</si>
  <si>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</si>
  <si>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</si>
  <si>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</si>
  <si>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</si>
  <si>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</si>
  <si>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</si>
  <si>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</si>
  <si>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</si>
  <si>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</si>
  <si>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</si>
  <si>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</si>
  <si>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</si>
  <si>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</si>
  <si>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</si>
  <si>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</si>
  <si>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</si>
  <si>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</si>
  <si>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</si>
  <si>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</si>
  <si>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</si>
  <si>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</si>
  <si>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</si>
  <si>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</si>
  <si>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</si>
  <si>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</si>
  <si>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</si>
  <si>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</si>
  <si>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</si>
  <si>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</si>
  <si>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</si>
  <si>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</si>
  <si>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</si>
  <si>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</si>
  <si>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</si>
  <si>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</si>
  <si>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</si>
  <si>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</si>
  <si>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</si>
  <si>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</si>
  <si>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</si>
  <si>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</si>
  <si>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</si>
  <si>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</si>
  <si>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</si>
  <si>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</si>
  <si>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</si>
  <si>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</si>
  <si>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</si>
  <si>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</si>
  <si>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</si>
  <si>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</si>
  <si>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</si>
  <si>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</si>
  <si>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</si>
  <si>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</si>
  <si>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</si>
  <si>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</si>
  <si>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</si>
  <si>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</si>
  <si>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</si>
  <si>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</si>
  <si>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</si>
  <si>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</si>
  <si>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</si>
  <si>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</si>
  <si>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</si>
  <si>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</si>
  <si>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</si>
  <si>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</si>
  <si>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</si>
  <si>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</si>
  <si>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</si>
  <si>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</si>
  <si>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</si>
  <si>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</si>
  <si>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</si>
  <si>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</si>
  <si>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</si>
  <si>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</si>
  <si>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</si>
  <si>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</si>
  <si>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</si>
  <si>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</si>
  <si>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</si>
  <si>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</si>
  <si>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</si>
  <si>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</si>
  <si>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</si>
  <si>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</si>
  <si>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</si>
  <si>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</si>
  <si>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</si>
  <si>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</si>
  <si>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</si>
  <si>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</si>
  <si>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</si>
  <si>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</si>
  <si>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</si>
  <si>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</si>
  <si>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</si>
  <si>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</si>
  <si>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</si>
  <si>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</si>
  <si>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</si>
  <si>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</si>
  <si>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</si>
  <si>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</si>
  <si>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</si>
  <si>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</si>
  <si>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</si>
  <si>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</si>
  <si>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</si>
  <si>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</si>
  <si>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</si>
  <si>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</si>
  <si>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</si>
  <si>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</si>
  <si>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</si>
  <si>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</si>
  <si>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</si>
  <si>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</si>
  <si>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</si>
  <si>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</si>
  <si>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</si>
  <si>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</si>
  <si>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</si>
  <si>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</si>
  <si>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</si>
  <si>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</si>
  <si>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</si>
  <si>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</si>
  <si>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</si>
  <si>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</si>
  <si>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</si>
  <si>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</si>
  <si>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</si>
  <si>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</si>
  <si>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</si>
  <si>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</si>
  <si>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</si>
  <si>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</si>
  <si>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</si>
  <si>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</si>
  <si>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</si>
  <si>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</si>
  <si>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</si>
  <si>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</si>
  <si>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</si>
  <si>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</si>
  <si>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</si>
  <si>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</si>
  <si>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</si>
  <si>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</si>
  <si>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</si>
  <si>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</si>
  <si>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</si>
  <si>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</si>
  <si>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</si>
  <si>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</si>
  <si>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</si>
  <si>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</si>
  <si>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</si>
  <si>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</si>
  <si>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</si>
  <si>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</si>
  <si>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</si>
  <si>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</si>
  <si>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</si>
  <si>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</si>
  <si>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</si>
  <si>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</si>
  <si>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</si>
  <si>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</si>
  <si>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</si>
  <si>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</si>
  <si>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</si>
  <si>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</si>
  <si>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</si>
  <si>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</si>
  <si>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</si>
  <si>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</si>
  <si>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</si>
  <si>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</si>
  <si>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</si>
  <si>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</si>
  <si>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</si>
  <si>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</si>
  <si>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</si>
  <si>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</si>
  <si>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</si>
  <si>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</si>
  <si>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</si>
  <si>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</si>
  <si>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</si>
  <si>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</si>
  <si>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</si>
  <si>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</si>
  <si>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</si>
  <si>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</si>
  <si>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</si>
  <si>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</si>
  <si>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</si>
  <si>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</si>
  <si>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</si>
  <si>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</si>
  <si>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</si>
  <si>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</si>
  <si>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</si>
  <si>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</si>
  <si>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</si>
  <si>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</si>
  <si>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</si>
  <si>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</si>
  <si>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</si>
  <si>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</si>
  <si>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</si>
  <si>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</si>
  <si>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</si>
  <si>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</si>
  <si>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</si>
  <si>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</si>
  <si>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</si>
  <si>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</si>
  <si>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</si>
  <si>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</si>
  <si>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</si>
  <si>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</si>
  <si>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</si>
  <si>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</si>
  <si>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</si>
  <si>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</si>
  <si>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</si>
  <si>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</si>
  <si>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</si>
  <si>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</si>
  <si>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</si>
  <si>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</si>
  <si>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</si>
  <si>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</si>
  <si>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</si>
  <si>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</si>
  <si>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</si>
  <si>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</si>
  <si>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</si>
  <si>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</si>
  <si>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</si>
  <si>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</si>
  <si>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</si>
  <si>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</si>
  <si>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</si>
  <si>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</si>
  <si>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</si>
  <si>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</si>
  <si>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</si>
  <si>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</si>
  <si>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</si>
  <si>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</si>
  <si>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</si>
  <si>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</si>
  <si>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</si>
  <si>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</si>
  <si>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</si>
  <si>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</si>
  <si>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</si>
  <si>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</si>
  <si>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</si>
  <si>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</si>
  <si>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</si>
  <si>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</si>
  <si>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</si>
  <si>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</si>
  <si>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</si>
  <si>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</si>
  <si>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</si>
  <si>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</si>
  <si>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</si>
  <si>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</si>
  <si>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</si>
  <si>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</si>
  <si>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</si>
  <si>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</si>
  <si>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</si>
  <si>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</si>
  <si>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</si>
  <si>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</si>
  <si>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</si>
  <si>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</si>
  <si>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</si>
  <si>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</si>
  <si>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</si>
  <si>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</si>
  <si>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</si>
  <si>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</si>
  <si>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</si>
  <si>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</si>
  <si>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</si>
  <si>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</si>
  <si>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</si>
  <si>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</si>
  <si>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</si>
  <si>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</si>
  <si>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</si>
  <si>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</si>
  <si>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</si>
  <si>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</si>
  <si>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</si>
  <si>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</si>
  <si>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</si>
  <si>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</si>
  <si>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</si>
  <si>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</si>
  <si>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</si>
  <si>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</si>
  <si>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</si>
  <si>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</si>
  <si>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</si>
  <si>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</si>
  <si>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</si>
  <si>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</si>
  <si>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</si>
  <si>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</si>
  <si>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</si>
  <si>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</si>
  <si>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</si>
  <si>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</si>
  <si>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</si>
  <si>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</si>
  <si>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</si>
  <si>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</si>
  <si>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</si>
  <si>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</si>
  <si>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</si>
  <si>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</si>
  <si>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</si>
  <si>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</si>
  <si>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</si>
  <si>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</si>
  <si>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</si>
  <si>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</si>
  <si>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</si>
  <si>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</si>
  <si>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</si>
  <si>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</si>
  <si>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</si>
  <si>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</si>
  <si>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</si>
  <si>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</si>
  <si>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</si>
  <si>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</si>
  <si>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</si>
  <si>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</si>
  <si>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</si>
  <si>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</si>
  <si>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</si>
  <si>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</si>
  <si>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</si>
  <si>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</si>
  <si>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</si>
  <si>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</si>
  <si>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</si>
  <si>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</si>
  <si>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</si>
  <si>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</si>
  <si>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</si>
  <si>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</si>
  <si>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</si>
  <si>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</si>
  <si>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</si>
  <si>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</si>
  <si>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</si>
  <si>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</si>
  <si>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</si>
  <si>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</si>
  <si>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</si>
  <si>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</si>
  <si>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</si>
  <si>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</si>
  <si>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</si>
  <si>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</si>
  <si>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</si>
  <si>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</si>
  <si>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</si>
  <si>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</si>
  <si>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</si>
  <si>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</si>
  <si>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</si>
  <si>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</si>
  <si>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</si>
  <si>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</si>
  <si>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</si>
  <si>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</si>
  <si>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</si>
  <si>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</si>
  <si>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</si>
  <si>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</si>
  <si>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</si>
  <si>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</si>
  <si>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</si>
  <si>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</si>
  <si>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</si>
  <si>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</si>
  <si>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</si>
  <si>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</si>
  <si>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</si>
  <si>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</si>
  <si>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</si>
  <si>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</si>
  <si>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</si>
  <si>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</si>
  <si>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</si>
  <si>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</si>
  <si>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</si>
  <si>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</si>
  <si>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</si>
  <si>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</si>
  <si>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</si>
  <si>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</si>
  <si>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</si>
  <si>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</si>
  <si>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</si>
  <si>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</si>
  <si>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</si>
  <si>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</si>
  <si>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</si>
  <si>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</si>
  <si>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</si>
  <si>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</si>
  <si>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</si>
  <si>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</si>
  <si>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</si>
  <si>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</si>
  <si>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</si>
  <si>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</si>
  <si>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</si>
  <si>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</si>
  <si>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</si>
  <si>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</si>
  <si>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</si>
  <si>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</si>
  <si>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</si>
  <si>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</si>
  <si>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</si>
  <si>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</si>
  <si>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</si>
  <si>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</si>
  <si>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</si>
  <si>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</si>
  <si>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</si>
  <si>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</si>
  <si>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</si>
  <si>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</si>
  <si>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</si>
  <si>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</si>
  <si>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</si>
  <si>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</si>
  <si>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</si>
  <si>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</si>
  <si>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</si>
  <si>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</si>
  <si>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</si>
  <si>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</si>
  <si>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</si>
  <si>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</si>
  <si>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</si>
  <si>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</si>
  <si>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</si>
  <si>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</si>
  <si>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</si>
  <si>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</si>
  <si>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</si>
  <si>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</si>
  <si>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</si>
  <si>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</si>
  <si>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</si>
  <si>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</si>
  <si>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</si>
  <si>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</si>
  <si>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</si>
  <si>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</si>
  <si>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</si>
  <si>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</si>
  <si>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</si>
  <si>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</si>
  <si>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</si>
  <si>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</si>
  <si>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</si>
  <si>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</si>
  <si>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</si>
  <si>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</si>
  <si>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</si>
  <si>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</si>
  <si>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</si>
  <si>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</si>
  <si>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</si>
  <si>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</si>
  <si>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</si>
  <si>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</si>
  <si>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</si>
  <si>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</si>
  <si>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</si>
  <si>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</si>
  <si>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</si>
  <si>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</si>
  <si>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</si>
  <si>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</si>
  <si>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</si>
  <si>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</si>
  <si>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</si>
  <si>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</si>
  <si>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</si>
  <si>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</si>
  <si>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</si>
  <si>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</si>
  <si>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</si>
  <si>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</si>
  <si>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</si>
  <si>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</si>
  <si>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</si>
  <si>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</si>
  <si>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</si>
  <si>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</si>
  <si>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</si>
  <si>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</si>
  <si>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</si>
  <si>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</si>
  <si>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</si>
  <si>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</si>
  <si>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</si>
  <si>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</si>
  <si>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</si>
  <si>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</si>
  <si>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</si>
  <si>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</si>
  <si>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</si>
  <si>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</si>
  <si>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</si>
  <si>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</si>
  <si>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</si>
  <si>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</si>
  <si>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</si>
  <si>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</si>
  <si>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</si>
  <si>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</si>
  <si>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</si>
  <si>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</si>
  <si>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</si>
  <si>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</si>
  <si>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</si>
  <si>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</si>
  <si>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</si>
  <si>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</si>
  <si>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</si>
  <si>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</si>
  <si>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</si>
  <si>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</si>
  <si>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</si>
  <si>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</si>
  <si>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</si>
  <si>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</si>
  <si>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</si>
  <si>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</si>
  <si>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</si>
  <si>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</si>
  <si>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</si>
  <si>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</si>
  <si>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</si>
  <si>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</si>
  <si>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</si>
  <si>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</si>
  <si>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</si>
  <si>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</si>
  <si>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</si>
  <si>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</si>
  <si>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</si>
  <si>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</si>
  <si>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</si>
  <si>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</si>
  <si>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</si>
  <si>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</si>
  <si>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</si>
  <si>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</si>
  <si>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</si>
  <si>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</si>
  <si>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</si>
  <si>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</si>
  <si>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</si>
  <si>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</si>
  <si>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</si>
  <si>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</si>
  <si>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</si>
  <si>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</si>
  <si>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</si>
  <si>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</si>
  <si>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</si>
  <si>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</si>
  <si>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</si>
  <si>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</si>
  <si>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</si>
  <si>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</si>
  <si>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</si>
  <si>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</si>
  <si>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</si>
  <si>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</si>
  <si>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</si>
  <si>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</si>
  <si>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</si>
  <si>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</si>
  <si>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</si>
  <si>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</si>
  <si>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</si>
  <si>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</si>
  <si>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</si>
  <si>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</si>
  <si>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</si>
  <si>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</si>
  <si>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</si>
  <si>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</si>
  <si>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</si>
  <si>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</si>
  <si>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</si>
  <si>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</si>
  <si>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</si>
  <si>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</si>
  <si>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</si>
  <si>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</si>
  <si>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</si>
  <si>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</si>
  <si>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</si>
  <si>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</si>
  <si>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</si>
  <si>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</si>
  <si>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</si>
  <si>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</si>
  <si>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</si>
  <si>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</si>
  <si>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</si>
  <si>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</si>
  <si>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</si>
  <si>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</si>
  <si>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</si>
  <si>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</si>
  <si>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</si>
  <si>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</si>
  <si>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</si>
  <si>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</si>
  <si>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</si>
  <si>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</si>
  <si>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</si>
  <si>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</si>
  <si>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</si>
  <si>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</si>
  <si>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</si>
  <si>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</si>
  <si>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</si>
  <si>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</si>
  <si>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</si>
  <si>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</si>
  <si>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</si>
  <si>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</si>
  <si>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</si>
  <si>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</si>
  <si>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</si>
  <si>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</si>
  <si>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</si>
  <si>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</si>
  <si>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</si>
  <si>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</si>
  <si>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</si>
  <si>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</si>
  <si>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</si>
  <si>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</si>
  <si>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</si>
  <si>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</si>
  <si>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</si>
  <si>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</si>
  <si>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</si>
  <si>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</si>
  <si>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</si>
  <si>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</si>
  <si>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</si>
  <si>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</si>
  <si>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</si>
  <si>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</si>
  <si>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</si>
  <si>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</si>
  <si>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</si>
  <si>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</si>
  <si>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</si>
  <si>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</si>
  <si>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</si>
  <si>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</si>
  <si>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</si>
  <si>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</si>
  <si>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</si>
  <si>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</si>
  <si>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</si>
  <si>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</si>
  <si>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</si>
  <si>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</si>
  <si>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</si>
  <si>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</si>
  <si>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</si>
  <si>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</si>
  <si>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</si>
  <si>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</si>
  <si>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</si>
  <si>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</si>
  <si>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</si>
  <si>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</si>
  <si>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</si>
  <si>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</si>
  <si>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</si>
  <si>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</si>
  <si>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</si>
  <si>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</si>
  <si>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</si>
  <si>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</si>
  <si>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</si>
  <si>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</si>
  <si>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</si>
  <si>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</si>
  <si>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</si>
  <si>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</si>
  <si>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</si>
  <si>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</si>
  <si>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</si>
  <si>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</si>
  <si>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</si>
  <si>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</si>
  <si>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</si>
  <si>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</si>
  <si>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</si>
  <si>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</si>
  <si>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</si>
  <si>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</si>
  <si>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</si>
  <si>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</si>
  <si>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</si>
  <si>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</si>
  <si>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</si>
  <si>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</si>
  <si>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</si>
  <si>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</si>
  <si>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</si>
  <si>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</si>
  <si>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</si>
  <si>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</si>
  <si>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</si>
  <si>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</si>
  <si>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</si>
  <si>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</si>
  <si>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</si>
  <si>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</si>
  <si>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</si>
  <si>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</si>
  <si>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</si>
  <si>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</si>
  <si>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</si>
  <si>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</si>
  <si>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</si>
  <si>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</si>
  <si>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</si>
  <si>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</si>
  <si>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</si>
  <si>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</si>
  <si>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</si>
  <si>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</si>
  <si>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</si>
  <si>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</si>
  <si>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</si>
  <si>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</si>
  <si>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</si>
  <si>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</si>
  <si>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</si>
  <si>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</si>
  <si>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</si>
  <si>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</si>
  <si>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</si>
  <si>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</si>
  <si>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</si>
  <si>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</si>
  <si>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</si>
  <si>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</si>
  <si>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</si>
  <si>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</si>
  <si>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</si>
  <si>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</si>
  <si>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</si>
  <si>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</si>
  <si>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</si>
  <si>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</si>
  <si>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</si>
  <si>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</si>
  <si>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</si>
  <si>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</si>
  <si>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</si>
  <si>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</si>
  <si>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</si>
  <si>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</si>
  <si>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</si>
  <si>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</si>
  <si>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</si>
  <si>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</si>
  <si>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</si>
  <si>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</si>
  <si>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</si>
  <si>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</si>
  <si>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</si>
  <si>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</si>
  <si>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</si>
  <si>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</si>
  <si>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</si>
  <si>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</si>
  <si>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</si>
  <si>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</si>
  <si>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</si>
  <si>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</si>
  <si>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</si>
  <si>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</si>
  <si>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</si>
  <si>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</si>
  <si>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</si>
  <si>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</si>
  <si>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</si>
  <si>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</si>
  <si>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</si>
  <si>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</si>
  <si>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</si>
  <si>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</si>
  <si>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</si>
  <si>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</si>
  <si>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</si>
  <si>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</si>
  <si>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</si>
  <si>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</si>
  <si>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</si>
  <si>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</si>
  <si>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</si>
  <si>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</si>
  <si>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</si>
  <si>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</si>
  <si>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</si>
  <si>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</si>
  <si>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</si>
  <si>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</si>
  <si>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</si>
  <si>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</si>
  <si>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</si>
  <si>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</si>
  <si>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</si>
  <si>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</si>
  <si>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</si>
  <si>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</si>
  <si>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</si>
  <si>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</si>
  <si>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</si>
  <si>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</si>
  <si>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</si>
  <si>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</si>
  <si>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</si>
  <si>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</si>
  <si>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</si>
  <si>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</si>
  <si>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</si>
  <si>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</si>
  <si>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</si>
  <si>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</si>
  <si>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</si>
  <si>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</si>
  <si>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</si>
  <si>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</si>
  <si>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</si>
  <si>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</si>
  <si>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</si>
  <si>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</si>
  <si>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</si>
  <si>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</si>
  <si>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</si>
  <si>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</si>
  <si>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</si>
  <si>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</si>
  <si>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</si>
  <si>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</si>
  <si>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</si>
  <si>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</si>
  <si>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</si>
  <si>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</si>
  <si>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</si>
  <si>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</si>
  <si>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</si>
  <si>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</si>
  <si>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</si>
  <si>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</si>
  <si>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</si>
  <si>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</si>
  <si>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</si>
  <si>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</si>
  <si>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</si>
  <si>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</si>
  <si>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</si>
  <si>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</si>
  <si>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</si>
  <si>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</si>
  <si>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</si>
  <si>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</si>
  <si>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</si>
  <si>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</si>
  <si>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</si>
  <si>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</si>
  <si>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</si>
  <si>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</si>
  <si>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</si>
  <si>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</si>
  <si>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</si>
  <si>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</si>
  <si>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</si>
  <si>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</si>
  <si>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</si>
  <si>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</si>
  <si>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</si>
  <si>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</si>
  <si>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</si>
  <si>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</si>
  <si>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</si>
  <si>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</si>
  <si>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</si>
  <si>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</si>
  <si>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</si>
  <si>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</si>
  <si>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</si>
  <si>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</si>
  <si>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</si>
  <si>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</si>
  <si>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</si>
  <si>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</si>
  <si>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</si>
  <si>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</si>
  <si>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</si>
  <si>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</si>
  <si>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</si>
  <si>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</si>
  <si>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</si>
  <si>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</si>
  <si>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</si>
  <si>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</si>
  <si>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</si>
  <si>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</si>
  <si>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</si>
  <si>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</si>
  <si>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</si>
  <si>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</si>
  <si>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</si>
  <si>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</si>
  <si>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</si>
  <si>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</si>
  <si>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</si>
  <si>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</si>
  <si>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</si>
  <si>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</si>
  <si>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</si>
  <si>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</si>
  <si>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</si>
  <si>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</si>
  <si>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</si>
  <si>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</si>
  <si>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</si>
  <si>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</si>
  <si>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</si>
  <si>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</si>
  <si>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</si>
  <si>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</si>
  <si>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</si>
  <si>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</si>
  <si>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</si>
  <si>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</si>
  <si>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</si>
  <si>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</si>
  <si>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</si>
  <si>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</si>
  <si>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</si>
  <si>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</si>
  <si>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</si>
  <si>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</si>
  <si>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</si>
  <si>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</si>
  <si>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</si>
  <si>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</si>
  <si>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</si>
  <si>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</si>
  <si>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</si>
  <si>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</si>
  <si>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</si>
  <si>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</si>
  <si>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</si>
  <si>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</si>
  <si>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</si>
  <si>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</si>
  <si>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</si>
  <si>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</si>
  <si>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</si>
  <si>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</si>
  <si>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</si>
  <si>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</si>
  <si>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</si>
  <si>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</si>
  <si>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</si>
  <si>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</si>
  <si>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</si>
  <si>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</si>
  <si>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</si>
  <si>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</si>
  <si>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</si>
  <si>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</si>
  <si>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</si>
  <si>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</si>
  <si>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</si>
  <si>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</si>
  <si>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</si>
  <si>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</si>
  <si>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</si>
  <si>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</si>
  <si>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</si>
  <si>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</si>
  <si>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</si>
  <si>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</si>
  <si>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</si>
  <si>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</si>
  <si>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</si>
  <si>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</si>
  <si>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</si>
  <si>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</si>
  <si>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</si>
  <si>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</si>
  <si>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</si>
  <si>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</si>
  <si>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</si>
  <si>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</si>
  <si>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</si>
  <si>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</si>
  <si>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</si>
  <si>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</si>
  <si>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</si>
  <si>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</si>
  <si>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</si>
  <si>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</si>
  <si>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</si>
  <si>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</si>
  <si>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</si>
  <si>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</si>
  <si>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</si>
  <si>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</si>
  <si>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</si>
  <si>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</si>
  <si>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</si>
  <si>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</si>
  <si>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</si>
  <si>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</si>
  <si>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</si>
  <si>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</si>
  <si>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</si>
  <si>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</si>
  <si>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</si>
  <si>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</si>
  <si>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</si>
  <si>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</si>
  <si>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</si>
  <si>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</si>
  <si>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</si>
  <si>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</si>
  <si>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</si>
  <si>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</si>
  <si>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</si>
  <si>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</si>
  <si>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</si>
  <si>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</si>
  <si>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</si>
  <si>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</si>
  <si>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</si>
  <si>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</si>
  <si>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</si>
  <si>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</si>
  <si>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</si>
  <si>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</si>
  <si>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</si>
  <si>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</si>
  <si>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</si>
  <si>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</si>
  <si>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</si>
  <si>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</si>
  <si>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</si>
  <si>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</si>
  <si>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</si>
  <si>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</si>
  <si>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</si>
  <si>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</si>
  <si>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</si>
  <si>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</si>
  <si>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</si>
  <si>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</si>
  <si>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</si>
  <si>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</si>
  <si>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</si>
  <si>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</si>
  <si>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</si>
  <si>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</si>
  <si>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</si>
  <si>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</si>
  <si>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</si>
  <si>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</si>
  <si>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</si>
  <si>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</si>
  <si>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</si>
  <si>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</si>
  <si>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</si>
  <si>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</si>
  <si>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</si>
  <si>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</si>
  <si>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</si>
  <si>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</si>
  <si>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</si>
  <si>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</si>
  <si>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</si>
  <si>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</si>
  <si>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</si>
  <si>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</si>
  <si>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</si>
  <si>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</si>
  <si>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</si>
  <si>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</si>
  <si>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</si>
  <si>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</si>
  <si>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</si>
  <si>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</si>
  <si>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</si>
  <si>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</si>
  <si>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</si>
  <si>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</si>
  <si>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</si>
  <si>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</si>
  <si>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</si>
  <si>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</si>
  <si>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</si>
  <si>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</si>
  <si>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</si>
  <si>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</si>
  <si>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</si>
  <si>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</si>
  <si>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</si>
  <si>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</si>
  <si>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</si>
  <si>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</si>
  <si>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</si>
  <si>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</si>
  <si>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</si>
  <si>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</si>
  <si>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</si>
  <si>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</si>
  <si>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</si>
  <si>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</si>
  <si>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</si>
  <si>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</si>
  <si>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</si>
  <si>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</si>
  <si>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</si>
  <si>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</si>
  <si>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</si>
  <si>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</si>
  <si>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</si>
  <si>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</si>
  <si>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</si>
  <si>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</si>
  <si>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</si>
  <si>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</si>
  <si>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</si>
  <si>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</si>
  <si>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</si>
  <si>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</si>
  <si>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</si>
  <si>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</si>
  <si>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</si>
  <si>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</si>
  <si>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</si>
  <si>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</si>
  <si>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</si>
  <si>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</si>
  <si>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</si>
  <si>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</si>
  <si>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</si>
  <si>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</si>
  <si>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</si>
  <si>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</si>
  <si>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</si>
  <si>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</si>
  <si>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</si>
  <si>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</si>
  <si>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</si>
  <si>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</si>
  <si>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</si>
  <si>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</si>
  <si>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</si>
  <si>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</si>
  <si>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</si>
  <si>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</si>
  <si>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</si>
  <si>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</si>
  <si>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</si>
  <si>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</si>
  <si>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</si>
  <si>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</si>
  <si>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</si>
  <si>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</si>
  <si>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</si>
  <si>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</si>
  <si>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</si>
  <si>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</si>
  <si>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</si>
  <si>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</si>
  <si>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</si>
  <si>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</si>
  <si>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</si>
  <si>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</si>
  <si>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</si>
  <si>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</si>
  <si>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</si>
  <si>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</si>
  <si>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</si>
  <si>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</si>
  <si>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</si>
  <si>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</si>
  <si>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</si>
  <si>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</si>
  <si>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</si>
  <si>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</si>
  <si>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</si>
  <si>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</si>
  <si>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</si>
  <si>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</si>
  <si>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</si>
  <si>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</si>
  <si>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</si>
  <si>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</si>
  <si>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</si>
  <si>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</si>
  <si>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</si>
  <si>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</si>
  <si>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</si>
  <si>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</si>
  <si>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</si>
  <si>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</si>
  <si>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</si>
  <si>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</si>
  <si>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</si>
  <si>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</si>
  <si>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</si>
  <si>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</si>
  <si>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</si>
  <si>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</si>
  <si>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</si>
  <si>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</si>
  <si>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</si>
  <si>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</si>
  <si>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</si>
  <si>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</si>
  <si>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</si>
  <si>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</si>
  <si>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</si>
  <si>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</si>
  <si>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</si>
  <si>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</si>
  <si>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</si>
  <si>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</si>
  <si>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</si>
  <si>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</si>
  <si>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</si>
  <si>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</si>
  <si>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</si>
  <si>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</si>
  <si>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</si>
  <si>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</si>
  <si>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</si>
  <si>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</si>
  <si>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</si>
  <si>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</si>
  <si>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</si>
  <si>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</si>
  <si>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</si>
  <si>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</si>
  <si>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</si>
  <si>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</si>
  <si>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</si>
  <si>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</si>
  <si>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</si>
  <si>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</si>
  <si>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</si>
  <si>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</si>
  <si>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</si>
  <si>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</si>
  <si>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</si>
  <si>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</si>
  <si>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</si>
  <si>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</si>
  <si>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</si>
  <si>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</si>
  <si>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</si>
  <si>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</si>
  <si>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</si>
  <si>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</si>
  <si>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</si>
  <si>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</si>
  <si>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</si>
  <si>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</si>
  <si>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</si>
  <si>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</si>
  <si>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</si>
  <si>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</si>
  <si>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</si>
  <si>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</si>
  <si>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</si>
  <si>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</si>
  <si>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</si>
  <si>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</si>
  <si>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</si>
  <si>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</si>
  <si>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</si>
  <si>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</si>
  <si>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</si>
  <si>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</si>
  <si>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</si>
  <si>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</si>
  <si>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</si>
  <si>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</si>
  <si>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</si>
  <si>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</si>
  <si>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</si>
  <si>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</si>
  <si>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</si>
  <si>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</si>
  <si>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</si>
  <si>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</si>
  <si>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</si>
  <si>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</si>
  <si>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</si>
  <si>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</si>
  <si>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</si>
  <si>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</si>
  <si>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</si>
  <si>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</si>
  <si>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</si>
  <si>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</si>
  <si>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</si>
  <si>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</si>
  <si>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</si>
  <si>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</si>
  <si>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</si>
  <si>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</si>
  <si>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</si>
  <si>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</si>
  <si>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</si>
  <si>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</si>
  <si>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</si>
  <si>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</si>
  <si>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</si>
  <si>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</si>
  <si>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</si>
  <si>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</si>
  <si>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</si>
  <si>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</si>
  <si>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</si>
  <si>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</si>
  <si>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</si>
  <si>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</si>
  <si>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</si>
  <si>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</si>
  <si>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</si>
  <si>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</si>
  <si>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</si>
  <si>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</si>
  <si>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</si>
  <si>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</si>
  <si>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</si>
  <si>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</si>
  <si>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</si>
  <si>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</si>
  <si>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</si>
  <si>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</si>
  <si>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</si>
  <si>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</si>
  <si>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</si>
  <si>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</si>
  <si>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</si>
  <si>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</si>
  <si>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</si>
  <si>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</si>
  <si>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</si>
  <si>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</si>
  <si>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</si>
  <si>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</si>
  <si>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</si>
  <si>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</si>
  <si>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</si>
  <si>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</si>
  <si>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</si>
  <si>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</si>
  <si>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</si>
  <si>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</si>
  <si>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</si>
  <si>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</si>
  <si>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</si>
  <si>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</si>
  <si>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</si>
  <si>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</si>
  <si>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</si>
  <si>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</si>
  <si>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</si>
  <si>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</si>
  <si>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</si>
  <si>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</si>
  <si>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</si>
  <si>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</si>
  <si>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</si>
  <si>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</si>
  <si>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</si>
  <si>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</si>
  <si>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</si>
  <si>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</si>
  <si>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</si>
  <si>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</si>
  <si>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</si>
  <si>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</si>
  <si>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</si>
  <si>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</si>
  <si>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</si>
  <si>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</si>
  <si>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</si>
  <si>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</si>
  <si>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</si>
  <si>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</si>
  <si>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</si>
  <si>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</si>
  <si>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</si>
  <si>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</si>
  <si>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</si>
  <si>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</si>
  <si>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</si>
  <si>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</si>
  <si>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</si>
  <si>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</si>
  <si>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</si>
  <si>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</si>
  <si>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</si>
  <si>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</si>
  <si>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</si>
  <si>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</si>
  <si>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</si>
  <si>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</si>
  <si>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</si>
  <si>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</si>
  <si>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</si>
  <si>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</si>
  <si>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</si>
  <si>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</si>
  <si>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</si>
  <si>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</si>
  <si>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</si>
  <si>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</si>
  <si>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</si>
  <si>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</si>
  <si>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</si>
  <si>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</si>
  <si>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</si>
  <si>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</si>
  <si>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</si>
  <si>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</si>
  <si>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</si>
  <si>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</si>
  <si>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</si>
  <si>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</si>
  <si>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</si>
  <si>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</si>
  <si>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</si>
  <si>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</si>
  <si>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</si>
  <si>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</si>
  <si>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</si>
  <si>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</si>
  <si>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</si>
  <si>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</si>
  <si>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</si>
  <si>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</si>
  <si>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</si>
  <si>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</si>
  <si>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</si>
  <si>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</si>
  <si>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</si>
  <si>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</si>
  <si>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</si>
  <si>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</si>
  <si>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</si>
  <si>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</si>
  <si>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</si>
  <si>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</si>
  <si>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</si>
  <si>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</si>
  <si>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</si>
  <si>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</si>
  <si>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</si>
  <si>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</si>
  <si>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</si>
  <si>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</si>
  <si>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</si>
  <si>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</si>
  <si>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</si>
  <si>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</si>
  <si>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</si>
  <si>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</si>
  <si>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</si>
  <si>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</si>
  <si>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</si>
  <si>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</si>
  <si>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</si>
  <si>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</si>
  <si>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</si>
  <si>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</si>
  <si>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</si>
  <si>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</si>
  <si>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</si>
  <si>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</si>
  <si>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</si>
  <si>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</si>
  <si>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</si>
  <si>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</si>
  <si>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</si>
  <si>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</si>
  <si>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</si>
  <si>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</si>
  <si>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</si>
  <si>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</si>
  <si>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</si>
  <si>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</si>
  <si>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</si>
  <si>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</si>
  <si>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</si>
  <si>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</si>
  <si>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</si>
  <si>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</si>
  <si>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</si>
  <si>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</si>
  <si>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</si>
  <si>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</si>
  <si>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</si>
  <si>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</si>
  <si>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</si>
  <si>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</si>
  <si>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</si>
  <si>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</si>
  <si>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</si>
  <si>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</si>
  <si>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</si>
  <si>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</si>
  <si>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</si>
  <si>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</si>
  <si>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</si>
  <si>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</si>
  <si>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</si>
  <si>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</si>
  <si>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</si>
  <si>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</si>
  <si>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</si>
  <si>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</si>
  <si>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</si>
  <si>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</si>
  <si>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</si>
  <si>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</si>
  <si>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</si>
  <si>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</si>
  <si>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</si>
  <si>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</si>
  <si>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</si>
  <si>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</si>
  <si>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</si>
  <si>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</si>
  <si>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</si>
  <si>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</si>
  <si>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</si>
  <si>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</si>
  <si>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</si>
  <si>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</si>
  <si>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</si>
  <si>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</si>
  <si>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</si>
  <si>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</si>
  <si>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</si>
  <si>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</si>
  <si>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</si>
  <si>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</si>
  <si>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</si>
  <si>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</si>
  <si>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</si>
  <si>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</si>
  <si>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</si>
  <si>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</si>
  <si>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</si>
  <si>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</si>
  <si>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</si>
  <si>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</si>
  <si>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</si>
  <si>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</si>
  <si>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</si>
  <si>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</si>
  <si>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</si>
  <si>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</si>
  <si>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</si>
  <si>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</si>
  <si>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</si>
  <si>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</si>
  <si>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</si>
  <si>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</si>
  <si>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</si>
  <si>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</si>
  <si>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</si>
  <si>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</si>
  <si>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</si>
  <si>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</si>
  <si>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</si>
  <si>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</si>
  <si>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</si>
  <si>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</si>
  <si>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</si>
  <si>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</si>
  <si>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</si>
  <si>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</si>
  <si>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</si>
  <si>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</si>
  <si>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</si>
  <si>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</si>
  <si>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</si>
  <si>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</si>
  <si>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</si>
  <si>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</si>
  <si>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</si>
  <si>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</si>
  <si>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</si>
  <si>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</si>
  <si>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</si>
  <si>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</si>
  <si>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</si>
  <si>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</si>
  <si>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</si>
  <si>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</si>
  <si>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</si>
  <si>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</si>
  <si>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</si>
  <si>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</si>
  <si>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</si>
  <si>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</si>
  <si>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</si>
  <si>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</si>
  <si>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</si>
  <si>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</si>
  <si>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</si>
  <si>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</si>
  <si>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</si>
  <si>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</si>
  <si>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</si>
  <si>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</si>
  <si>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</si>
  <si>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</si>
  <si>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</si>
  <si>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</si>
  <si>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</si>
  <si>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</si>
  <si>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</si>
  <si>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</si>
  <si>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</si>
  <si>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</si>
  <si>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</si>
  <si>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</si>
  <si>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</si>
  <si>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</si>
  <si>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</si>
  <si>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</si>
  <si>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</si>
  <si>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</si>
  <si>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</si>
  <si>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</si>
  <si>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</si>
  <si>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</si>
  <si>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</si>
  <si>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</si>
  <si>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</si>
  <si>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</si>
  <si>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</si>
  <si>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</si>
  <si>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</si>
  <si>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</si>
  <si>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</si>
  <si>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</si>
  <si>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</si>
  <si>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</si>
  <si>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</si>
  <si>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</si>
  <si>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</si>
  <si>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</si>
  <si>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</si>
  <si>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</si>
  <si>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</si>
  <si>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</si>
  <si>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</si>
  <si>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</si>
  <si>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</si>
  <si>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</si>
  <si>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</si>
  <si>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</si>
  <si>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</si>
  <si>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</si>
  <si>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</si>
  <si>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</si>
  <si>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</si>
  <si>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</si>
  <si>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</si>
  <si>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</si>
  <si>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</si>
  <si>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</si>
  <si>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</si>
  <si>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</si>
  <si>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</si>
  <si>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</si>
  <si>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</si>
  <si>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</si>
  <si>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</si>
  <si>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</si>
  <si>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</si>
  <si>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</si>
  <si>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</si>
  <si>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</si>
  <si>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</si>
  <si>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</si>
  <si>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</si>
  <si>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</si>
  <si>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</si>
  <si>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</si>
  <si>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</si>
  <si>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</si>
  <si>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</si>
  <si>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</si>
  <si>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</si>
  <si>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</si>
  <si>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</si>
  <si>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</si>
  <si>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</si>
  <si>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</si>
  <si>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</si>
  <si>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</si>
  <si>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</si>
  <si>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</si>
  <si>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</si>
  <si>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</si>
  <si>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</si>
  <si>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</si>
  <si>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</si>
  <si>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</si>
  <si>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</si>
  <si>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</si>
  <si>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</si>
  <si>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</si>
  <si>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</si>
  <si>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</si>
  <si>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</si>
  <si>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</si>
  <si>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</si>
  <si>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</si>
  <si>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</si>
  <si>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</si>
  <si>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</si>
  <si>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</si>
  <si>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</si>
  <si>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</si>
  <si>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</si>
  <si>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</si>
  <si>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</si>
  <si>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</si>
  <si>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</si>
  <si>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</si>
  <si>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</si>
  <si>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</si>
  <si>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</si>
  <si>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</si>
  <si>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</si>
  <si>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</si>
  <si>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</si>
  <si>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</si>
  <si>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</si>
  <si>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</si>
  <si>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</si>
  <si>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</si>
  <si>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</si>
  <si>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</si>
  <si>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</si>
  <si>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</si>
  <si>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</si>
  <si>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</si>
  <si>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</si>
  <si>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</si>
  <si>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</si>
  <si>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</si>
  <si>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</si>
  <si>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</si>
  <si>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</si>
  <si>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</si>
  <si>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</si>
  <si>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</si>
  <si>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</si>
  <si>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</si>
  <si>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</si>
  <si>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</si>
  <si>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</si>
  <si>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</si>
  <si>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</si>
  <si>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</si>
  <si>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</si>
  <si>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</si>
  <si>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</si>
  <si>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</si>
  <si>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</si>
  <si>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</si>
  <si>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</si>
  <si>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</si>
  <si>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</si>
  <si>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</si>
  <si>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</si>
  <si>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</si>
  <si>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</si>
  <si>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</si>
  <si>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</si>
  <si>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</si>
  <si>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</si>
  <si>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</si>
  <si>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</si>
  <si>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</si>
  <si>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</si>
  <si>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</si>
  <si>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</si>
  <si>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</si>
  <si>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</si>
  <si>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</si>
  <si>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</si>
  <si>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</si>
  <si>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</si>
  <si>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</si>
  <si>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</si>
  <si>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</si>
  <si>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</si>
  <si>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</si>
  <si>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</si>
  <si>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</si>
  <si>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</si>
  <si>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</si>
  <si>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</si>
  <si>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</si>
  <si>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</si>
  <si>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</si>
  <si>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</si>
  <si>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</si>
  <si>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</si>
  <si>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</si>
  <si>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</si>
  <si>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</si>
  <si>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</si>
  <si>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</si>
  <si>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</si>
  <si>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</si>
  <si>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</si>
  <si>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</si>
  <si>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</si>
  <si>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</si>
  <si>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</si>
  <si>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</si>
  <si>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</si>
  <si>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</si>
  <si>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</si>
  <si>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</si>
  <si>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</si>
  <si>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</si>
  <si>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</si>
  <si>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</si>
  <si>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</si>
  <si>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</si>
  <si>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</si>
  <si>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</si>
  <si>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</si>
  <si>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</si>
  <si>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</si>
  <si>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</si>
  <si>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</si>
  <si>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</si>
  <si>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</si>
  <si>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</si>
  <si>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</si>
  <si>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</si>
  <si>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</si>
  <si>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</si>
  <si>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</si>
  <si>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</si>
  <si>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</si>
  <si>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</si>
  <si>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</si>
  <si>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</si>
  <si>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</si>
  <si>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</si>
  <si>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</si>
  <si>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</si>
  <si>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</si>
  <si>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</si>
  <si>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</si>
  <si>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</si>
  <si>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</si>
  <si>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</si>
  <si>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</si>
  <si>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</si>
  <si>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</si>
  <si>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</si>
  <si>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</si>
  <si>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</si>
  <si>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</si>
  <si>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</si>
  <si>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</si>
  <si>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</si>
  <si>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</si>
  <si>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</si>
  <si>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</si>
  <si>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</si>
  <si>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</si>
  <si>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</si>
  <si>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</si>
  <si>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</si>
  <si>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</si>
  <si>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</si>
  <si>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</si>
  <si>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</si>
  <si>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</si>
  <si>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</si>
  <si>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</si>
  <si>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</si>
  <si>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</si>
  <si>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</si>
  <si>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</si>
  <si>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</si>
  <si>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</si>
  <si>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</si>
  <si>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</si>
  <si>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</si>
  <si>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</si>
  <si>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</si>
  <si>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</si>
  <si>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</si>
  <si>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</si>
  <si>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</si>
  <si>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</si>
  <si>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</si>
  <si>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</si>
  <si>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</si>
  <si>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</si>
  <si>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</si>
  <si>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</si>
  <si>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</si>
  <si>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</si>
  <si>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</si>
  <si>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</si>
  <si>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</si>
  <si>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</si>
  <si>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</si>
  <si>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</si>
  <si>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</si>
  <si>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</si>
  <si>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</si>
  <si>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</si>
  <si>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</si>
  <si>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</si>
  <si>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</si>
  <si>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</si>
  <si>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</si>
  <si>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</si>
  <si>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</si>
  <si>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</si>
  <si>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</si>
  <si>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</si>
  <si>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</si>
  <si>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</si>
  <si>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</si>
  <si>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</si>
  <si>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</si>
  <si>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</si>
  <si>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</si>
  <si>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</si>
  <si>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</si>
  <si>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</si>
  <si>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</si>
  <si>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</si>
  <si>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</si>
  <si>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</si>
  <si>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</si>
  <si>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</si>
  <si>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</si>
  <si>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</si>
  <si>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</si>
  <si>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</si>
  <si>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</si>
  <si>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</si>
  <si>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</si>
  <si>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</si>
  <si>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</si>
  <si>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</si>
  <si>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</si>
  <si>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</si>
  <si>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</si>
  <si>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</si>
  <si>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</si>
  <si>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</si>
  <si>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</si>
  <si>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</si>
  <si>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</si>
  <si>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</si>
  <si>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</si>
  <si>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</si>
  <si>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</si>
  <si>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</si>
  <si>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</si>
  <si>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</si>
  <si>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</si>
  <si>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</si>
  <si>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</si>
  <si>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</si>
  <si>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</si>
  <si>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</si>
  <si>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</si>
  <si>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</si>
  <si>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</si>
  <si>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</si>
  <si>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</si>
  <si>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</si>
  <si>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</si>
  <si>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</si>
  <si>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</si>
  <si>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</si>
  <si>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</si>
  <si>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</si>
  <si>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</si>
  <si>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</si>
  <si>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</si>
  <si>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</si>
  <si>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</si>
  <si>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</si>
  <si>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</si>
  <si>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</si>
  <si>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</si>
  <si>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</si>
  <si>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</si>
  <si>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</si>
  <si>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</si>
  <si>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</si>
  <si>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</si>
  <si>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</si>
  <si>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</si>
  <si>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</si>
  <si>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</si>
  <si>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</si>
  <si>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</si>
  <si>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</si>
  <si>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</si>
  <si>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</si>
  <si>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</si>
  <si>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</si>
  <si>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</si>
  <si>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</si>
  <si>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</si>
  <si>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</si>
  <si>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</si>
  <si>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</si>
  <si>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</si>
  <si>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</si>
  <si>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</si>
  <si>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</si>
  <si>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</si>
  <si>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</si>
  <si>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</si>
  <si>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</si>
  <si>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</si>
  <si>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</si>
  <si>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</si>
  <si>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</si>
  <si>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</si>
  <si>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</si>
  <si>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</si>
  <si>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</si>
  <si>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</si>
  <si>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</si>
  <si>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</si>
  <si>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</si>
  <si>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</si>
  <si>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</si>
  <si>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</si>
  <si>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</si>
  <si>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</si>
  <si>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</si>
  <si>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</si>
  <si>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</si>
  <si>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</si>
  <si>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</si>
  <si>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</si>
  <si>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</si>
  <si>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</si>
  <si>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</si>
  <si>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</si>
  <si>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</si>
  <si>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</si>
  <si>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</si>
  <si>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</si>
  <si>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</si>
  <si>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</si>
  <si>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</si>
  <si>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</si>
  <si>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</si>
  <si>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</si>
  <si>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</si>
  <si>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</si>
  <si>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</si>
  <si>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</si>
  <si>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</si>
  <si>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</si>
  <si>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</si>
  <si>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</si>
  <si>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</si>
  <si>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</si>
  <si>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</si>
  <si>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</si>
  <si>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</si>
  <si>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</si>
  <si>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</si>
  <si>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</si>
  <si>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</si>
  <si>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</si>
  <si>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</si>
  <si>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</si>
  <si>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</si>
  <si>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</si>
  <si>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</si>
  <si>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</si>
  <si>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</si>
  <si>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</si>
  <si>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</si>
  <si>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</si>
  <si>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</si>
  <si>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</si>
  <si>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</si>
  <si>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</si>
  <si>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</si>
  <si>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</si>
  <si>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</si>
  <si>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</si>
  <si>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</si>
  <si>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</si>
  <si>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</si>
  <si>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</si>
  <si>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</si>
  <si>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</si>
  <si>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</si>
  <si>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</si>
  <si>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</si>
  <si>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</si>
  <si>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</si>
  <si>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</si>
  <si>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</si>
  <si>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</si>
  <si>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</si>
  <si>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</si>
  <si>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</si>
  <si>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</si>
  <si>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</si>
  <si>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</si>
  <si>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</si>
  <si>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</si>
  <si>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</si>
  <si>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</si>
  <si>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</si>
  <si>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</si>
  <si>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</si>
  <si>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</si>
  <si>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</si>
  <si>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</si>
  <si>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</si>
  <si>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</si>
  <si>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</si>
  <si>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</si>
  <si>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</si>
  <si>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</si>
  <si>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</si>
  <si>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</si>
  <si>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</si>
  <si>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</si>
  <si>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</si>
  <si>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</si>
  <si>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</si>
  <si>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</si>
  <si>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</si>
  <si>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</si>
  <si>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</si>
  <si>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</si>
  <si>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</si>
  <si>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</si>
  <si>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</si>
  <si>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</si>
  <si>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</si>
  <si>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</si>
  <si>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</si>
  <si>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</si>
  <si>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</si>
  <si>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</si>
  <si>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</si>
  <si>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</si>
  <si>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</si>
  <si>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</si>
  <si>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</si>
  <si>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</si>
  <si>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</si>
  <si>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</si>
  <si>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</si>
  <si>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</si>
  <si>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</si>
  <si>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</si>
  <si>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</si>
  <si>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</si>
  <si>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</si>
  <si>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</si>
  <si>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</si>
  <si>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</si>
  <si>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</si>
  <si>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</si>
  <si>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</si>
  <si>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</si>
  <si>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</si>
  <si>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</si>
  <si>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</si>
  <si>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</si>
  <si>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</si>
  <si>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</si>
  <si>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</si>
  <si>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</si>
  <si>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</si>
  <si>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</si>
  <si>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</si>
  <si>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</si>
  <si>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</si>
  <si>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</si>
  <si>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</si>
  <si>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</si>
  <si>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</si>
  <si>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</si>
  <si>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</si>
  <si>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</si>
  <si>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</si>
  <si>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</si>
  <si>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</si>
  <si>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</si>
  <si>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</si>
  <si>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</si>
  <si>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</si>
  <si>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</si>
  <si>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</si>
  <si>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</si>
  <si>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</si>
  <si>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</si>
  <si>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</si>
  <si>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</si>
  <si>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</si>
  <si>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</si>
  <si>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</si>
  <si>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</si>
  <si>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</si>
  <si>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</si>
  <si>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</si>
  <si>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</si>
  <si>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</si>
  <si>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</si>
  <si>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</si>
  <si>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</si>
  <si>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</si>
  <si>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</si>
  <si>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</si>
  <si>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</si>
  <si>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</si>
  <si>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</si>
  <si>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</si>
  <si>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</si>
  <si>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</si>
  <si>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</si>
  <si>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</si>
  <si>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</si>
  <si>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</si>
  <si>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</si>
  <si>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</si>
  <si>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</si>
  <si>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</si>
  <si>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</si>
  <si>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</si>
  <si>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</si>
  <si>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</si>
  <si>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</si>
  <si>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</si>
  <si>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</si>
  <si>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</si>
  <si>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</si>
  <si>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</si>
  <si>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</si>
  <si>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</si>
  <si>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</si>
  <si>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</si>
  <si>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</si>
  <si>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</si>
  <si>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</si>
  <si>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</si>
  <si>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</si>
  <si>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</si>
  <si>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</si>
  <si>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</si>
  <si>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</si>
  <si>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</si>
  <si>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</si>
  <si>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</si>
  <si>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</si>
  <si>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</si>
  <si>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</si>
  <si>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</si>
  <si>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</si>
  <si>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</si>
  <si>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</si>
  <si>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</si>
  <si>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</si>
  <si>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</si>
  <si>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</si>
  <si>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</si>
  <si>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</si>
  <si>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</si>
  <si>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</si>
  <si>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</si>
  <si>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</si>
  <si>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</si>
  <si>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</si>
  <si>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</si>
  <si>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</si>
  <si>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</si>
  <si>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</si>
  <si>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</si>
  <si>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</si>
  <si>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</si>
  <si>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</si>
  <si>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</si>
  <si>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</si>
  <si>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</si>
  <si>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</si>
  <si>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</si>
  <si>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</si>
  <si>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</si>
  <si>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</si>
  <si>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</si>
  <si>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</si>
  <si>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</si>
  <si>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</si>
  <si>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</si>
  <si>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</si>
  <si>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</si>
  <si>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</si>
  <si>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</si>
  <si>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</si>
  <si>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</si>
  <si>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</si>
  <si>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</si>
  <si>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</si>
  <si>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</si>
  <si>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</si>
  <si>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</si>
  <si>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</si>
  <si>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</si>
  <si>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</si>
  <si>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</si>
  <si>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</si>
  <si>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</si>
  <si>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</si>
  <si>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</si>
  <si>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</si>
  <si>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</si>
  <si>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</si>
  <si>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</si>
  <si>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</si>
  <si>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</si>
  <si>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</si>
  <si>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</si>
  <si>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</si>
  <si>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</si>
  <si>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</si>
  <si>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</si>
  <si>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</si>
  <si>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</si>
  <si>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</si>
  <si>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</si>
  <si>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</si>
  <si>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</si>
  <si>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</si>
  <si>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</si>
  <si>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</si>
  <si>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</si>
  <si>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</si>
  <si>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</si>
  <si>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</si>
  <si>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</si>
  <si>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</si>
  <si>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</si>
  <si>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</si>
  <si>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</si>
  <si>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</si>
  <si>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</si>
  <si>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</si>
  <si>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</si>
  <si>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</si>
  <si>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</si>
  <si>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</si>
  <si>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</si>
  <si>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</si>
  <si>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</si>
  <si>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</si>
  <si>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</si>
  <si>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</si>
  <si>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</si>
  <si>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</si>
  <si>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</si>
  <si>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</si>
  <si>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</si>
  <si>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</si>
  <si>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</si>
  <si>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</si>
  <si>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</si>
  <si>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</si>
  <si>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</si>
  <si>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</si>
  <si>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</si>
  <si>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</si>
  <si>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</si>
  <si>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</si>
  <si>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</si>
  <si>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</si>
  <si>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</si>
  <si>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</si>
  <si>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</si>
  <si>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</si>
  <si>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</si>
  <si>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</si>
  <si>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</si>
  <si>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</si>
  <si>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</si>
  <si>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</si>
  <si>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</si>
  <si>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</si>
  <si>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</si>
  <si>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</si>
  <si>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</si>
  <si>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</si>
  <si>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</si>
  <si>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</si>
  <si>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</si>
  <si>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</si>
  <si>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</si>
  <si>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</si>
  <si>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</si>
  <si>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</si>
  <si>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</si>
  <si>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</si>
  <si>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</si>
  <si>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</si>
  <si>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</si>
  <si>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</si>
  <si>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</si>
  <si>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</si>
  <si>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</si>
  <si>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</si>
  <si>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</si>
  <si>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</si>
  <si>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</si>
  <si>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</si>
  <si>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</si>
  <si>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</si>
  <si>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</si>
  <si>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</si>
  <si>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</si>
  <si>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</si>
  <si>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</si>
  <si>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</si>
  <si>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</si>
  <si>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</si>
  <si>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</si>
  <si>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</si>
  <si>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</si>
  <si>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</si>
  <si>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</si>
  <si>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</si>
  <si>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</si>
  <si>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</si>
  <si>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</si>
  <si>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</si>
  <si>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</si>
  <si>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</si>
  <si>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</si>
  <si>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</si>
  <si>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</si>
  <si>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</si>
  <si>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</si>
  <si>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</si>
  <si>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</si>
  <si>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</si>
  <si>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</si>
  <si>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</si>
  <si>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</si>
  <si>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</si>
  <si>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</si>
  <si>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</si>
  <si>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</si>
  <si>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</si>
  <si>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</si>
  <si>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</si>
  <si>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</si>
  <si>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</si>
  <si>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</si>
  <si>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</si>
  <si>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</si>
  <si>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</si>
  <si>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</si>
  <si>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</si>
  <si>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</si>
  <si>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</si>
  <si>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</si>
  <si>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</si>
  <si>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</si>
  <si>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</si>
  <si>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</si>
  <si>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</si>
  <si>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</si>
  <si>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</si>
  <si>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</si>
  <si>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</si>
  <si>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</si>
  <si>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</si>
  <si>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</si>
  <si>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</si>
  <si>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</si>
  <si>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</si>
  <si>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</si>
  <si>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</si>
  <si>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</si>
  <si>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</si>
  <si>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</si>
  <si>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</si>
  <si>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</si>
  <si>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</si>
  <si>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</si>
  <si>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</si>
  <si>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</si>
  <si>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</si>
  <si>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</si>
  <si>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</si>
  <si>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</si>
  <si>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</si>
  <si>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</si>
  <si>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</si>
  <si>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</si>
  <si>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</si>
  <si>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</si>
  <si>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</si>
  <si>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</si>
  <si>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</si>
  <si>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</si>
  <si>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</si>
  <si>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</si>
  <si>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</si>
  <si>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</si>
  <si>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</si>
  <si>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</si>
  <si>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</si>
  <si>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</si>
  <si>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</si>
  <si>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</si>
  <si>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</si>
  <si>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</si>
  <si>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</si>
  <si>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</si>
  <si>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</si>
  <si>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</si>
  <si>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</si>
  <si>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</si>
  <si>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</si>
  <si>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</si>
  <si>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</si>
  <si>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</si>
  <si>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</si>
  <si>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</si>
  <si>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</si>
  <si>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</si>
  <si>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</si>
  <si>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</si>
  <si>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</si>
  <si>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</si>
  <si>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</si>
  <si>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</si>
  <si>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</si>
  <si>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</si>
  <si>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</si>
  <si>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</si>
  <si>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</si>
  <si>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</si>
  <si>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</si>
  <si>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</si>
  <si>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</si>
  <si>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</si>
  <si>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</si>
  <si>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</si>
  <si>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</si>
  <si>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</si>
  <si>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</si>
  <si>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</si>
  <si>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</si>
  <si>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</si>
  <si>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</si>
  <si>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</si>
  <si>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</si>
  <si>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</si>
  <si>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</si>
  <si>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</si>
  <si>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</si>
  <si>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</si>
  <si>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</si>
  <si>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</si>
  <si>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</si>
  <si>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</si>
  <si>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</si>
  <si>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</si>
  <si>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</si>
  <si>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</si>
  <si>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</si>
  <si>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</si>
  <si>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</si>
  <si>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</si>
  <si>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</si>
  <si>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</si>
  <si>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</si>
  <si>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</si>
  <si>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</si>
  <si>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</si>
  <si>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</si>
  <si>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</si>
  <si>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</si>
  <si>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</si>
  <si>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</si>
  <si>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</si>
  <si>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</si>
  <si>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</si>
  <si>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</si>
  <si>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</si>
  <si>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</si>
  <si>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</si>
  <si>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</si>
  <si>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</si>
  <si>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</si>
  <si>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</si>
  <si>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</si>
  <si>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</si>
  <si>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</si>
  <si>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</si>
  <si>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</si>
  <si>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</si>
  <si>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</si>
  <si>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</si>
  <si>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</si>
  <si>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</si>
  <si>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</si>
  <si>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</si>
  <si>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</si>
  <si>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</si>
  <si>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</si>
  <si>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</si>
  <si>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</si>
  <si>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</si>
  <si>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</si>
  <si>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</si>
  <si>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</si>
  <si>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</si>
  <si>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</si>
  <si>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</si>
  <si>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</si>
  <si>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</si>
  <si>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</si>
  <si>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</si>
  <si>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</si>
  <si>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</si>
  <si>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</si>
  <si>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</si>
  <si>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</si>
  <si>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</si>
  <si>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</si>
  <si>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</si>
  <si>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</si>
  <si>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</si>
  <si>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</si>
  <si>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</si>
  <si>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</si>
  <si>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</si>
  <si>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</si>
  <si>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</si>
  <si>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</si>
  <si>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</si>
  <si>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</si>
  <si>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</si>
  <si>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</si>
  <si>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</si>
  <si>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</si>
  <si>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</si>
  <si>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</si>
  <si>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</si>
  <si>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</si>
  <si>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</si>
  <si>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</si>
  <si>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</si>
  <si>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</si>
  <si>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</si>
  <si>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</si>
  <si>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</si>
  <si>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</si>
  <si>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</si>
  <si>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</si>
  <si>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</si>
  <si>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</si>
  <si>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</si>
  <si>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</si>
  <si>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</si>
  <si>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</si>
  <si>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</si>
  <si>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</si>
  <si>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</si>
  <si>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</si>
  <si>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</si>
  <si>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</si>
  <si>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</si>
  <si>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</si>
  <si>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</si>
  <si>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</si>
  <si>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</si>
  <si>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</si>
  <si>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</si>
  <si>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</si>
  <si>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</si>
  <si>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</si>
  <si>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</si>
  <si>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</si>
  <si>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</si>
  <si>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</si>
  <si>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</si>
  <si>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</si>
  <si>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</si>
  <si>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</si>
  <si>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</si>
  <si>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</si>
  <si>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</si>
  <si>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</si>
  <si>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</si>
  <si>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</si>
  <si>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</si>
  <si>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</si>
  <si>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</si>
  <si>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</si>
  <si>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</si>
  <si>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</si>
  <si>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</si>
  <si>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</si>
  <si>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</si>
  <si>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</si>
  <si>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</si>
  <si>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</si>
  <si>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</si>
  <si>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</si>
  <si>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</si>
  <si>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</si>
  <si>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</si>
  <si>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</si>
  <si>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</si>
  <si>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</si>
  <si>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</si>
  <si>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</si>
  <si>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</si>
  <si>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</si>
  <si>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</si>
  <si>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</si>
  <si>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</si>
  <si>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</si>
  <si>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</si>
  <si>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</si>
  <si>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</si>
  <si>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</si>
  <si>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</si>
  <si>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</si>
  <si>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</si>
  <si>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</si>
  <si>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</si>
  <si>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</si>
  <si>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</si>
  <si>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</si>
  <si>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</si>
  <si>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</si>
  <si>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</si>
  <si>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</si>
  <si>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</si>
  <si>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</si>
  <si>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</si>
  <si>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</si>
  <si>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</si>
  <si>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</si>
  <si>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</si>
  <si>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</si>
  <si>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</si>
  <si>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</si>
  <si>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</si>
  <si>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</si>
  <si>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</si>
  <si>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</si>
  <si>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</si>
  <si>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</si>
  <si>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</si>
  <si>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</si>
  <si>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</si>
  <si>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</si>
  <si>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</si>
  <si>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</si>
  <si>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</si>
  <si>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</si>
  <si>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</si>
  <si>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</si>
  <si>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</si>
  <si>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</si>
  <si>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</si>
  <si>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</si>
  <si>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</si>
  <si>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</si>
  <si>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</si>
  <si>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</si>
  <si>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</si>
  <si>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</si>
  <si>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</si>
  <si>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</si>
  <si>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</si>
  <si>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</si>
  <si>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</si>
  <si>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</si>
  <si>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</si>
  <si>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</si>
  <si>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</si>
  <si>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</si>
  <si>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</si>
  <si>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</si>
  <si>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</si>
  <si>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</si>
  <si>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</si>
  <si>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</si>
  <si>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</si>
  <si>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</si>
  <si>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</si>
  <si>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</si>
  <si>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</si>
  <si>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</si>
  <si>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</si>
  <si>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</si>
  <si>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</si>
  <si>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</si>
  <si>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</si>
  <si>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</si>
  <si>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</si>
  <si>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</si>
  <si>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</si>
  <si>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</si>
  <si>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</si>
  <si>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</si>
  <si>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</si>
  <si>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</si>
  <si>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</si>
  <si>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</si>
  <si>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</si>
  <si>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</si>
  <si>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</si>
  <si>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</si>
  <si>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</si>
  <si>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</si>
  <si>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</si>
  <si>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</si>
  <si>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</si>
  <si>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</si>
  <si>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</si>
  <si>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</si>
  <si>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</si>
  <si>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</si>
  <si>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</si>
  <si>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</si>
  <si>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</si>
  <si>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</si>
  <si>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</si>
  <si>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</si>
  <si>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</si>
  <si>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</si>
  <si>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</si>
  <si>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</si>
  <si>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</si>
  <si>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</si>
  <si>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</si>
  <si>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</si>
  <si>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</si>
  <si>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</si>
  <si>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</si>
  <si>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</si>
  <si>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</si>
  <si>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</si>
  <si>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</si>
  <si>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</si>
  <si>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</si>
  <si>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</si>
  <si>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</si>
  <si>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</si>
  <si>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</si>
  <si>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</si>
  <si>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</si>
  <si>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</si>
  <si>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</si>
  <si>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</si>
  <si>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</si>
  <si>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</si>
  <si>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</si>
  <si>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</si>
  <si>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</si>
  <si>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</si>
  <si>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</si>
  <si>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</si>
  <si>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</si>
  <si>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</si>
  <si>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</si>
  <si>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</si>
  <si>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</si>
  <si>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</si>
  <si>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</si>
  <si>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</si>
  <si>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</si>
  <si>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</si>
  <si>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</si>
  <si>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</si>
  <si>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</si>
  <si>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</si>
  <si>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</si>
  <si>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</si>
  <si>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</si>
  <si>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</si>
  <si>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</si>
  <si>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</si>
  <si>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</si>
  <si>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</si>
  <si>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</si>
  <si>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</si>
  <si>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</si>
  <si>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</si>
  <si>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</si>
  <si>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</si>
  <si>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</si>
  <si>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</si>
  <si>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</si>
  <si>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</si>
  <si>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</si>
  <si>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</si>
  <si>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</si>
  <si>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</si>
  <si>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</si>
  <si>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</si>
  <si>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</si>
  <si>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</si>
  <si>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</si>
  <si>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</si>
  <si>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</si>
  <si>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</si>
  <si>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</si>
  <si>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</si>
  <si>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</si>
  <si>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</si>
  <si>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</si>
  <si>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</si>
  <si>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</si>
  <si>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</si>
  <si>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</si>
  <si>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</si>
  <si>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</si>
  <si>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</si>
  <si>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</si>
  <si>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</si>
  <si>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</si>
  <si>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</si>
  <si>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</si>
  <si>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</si>
  <si>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</si>
  <si>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</si>
  <si>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</si>
  <si>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</si>
  <si>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</si>
  <si>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</si>
  <si>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</si>
  <si>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</si>
  <si>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</si>
  <si>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</si>
  <si>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</si>
  <si>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</si>
  <si>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</si>
  <si>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</si>
  <si>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</si>
  <si>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</si>
  <si>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</si>
  <si>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</si>
  <si>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</si>
  <si>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</si>
  <si>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</si>
  <si>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</si>
  <si>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</si>
  <si>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</si>
  <si>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</si>
  <si>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</si>
  <si>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</si>
  <si>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</si>
  <si>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</si>
  <si>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</si>
  <si>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</si>
  <si>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</si>
  <si>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</si>
  <si>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</si>
  <si>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</si>
  <si>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</si>
  <si>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</si>
  <si>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</si>
  <si>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</si>
  <si>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</si>
  <si>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</si>
  <si>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</si>
  <si>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</si>
  <si>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</si>
  <si>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</si>
  <si>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</si>
  <si>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</si>
  <si>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</si>
  <si>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</si>
  <si>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</si>
  <si>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</si>
  <si>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</si>
  <si>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</si>
  <si>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</si>
  <si>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</si>
  <si>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</si>
  <si>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</si>
  <si>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</si>
  <si>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</si>
  <si>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</si>
  <si>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</si>
  <si>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</si>
  <si>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</si>
  <si>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</si>
  <si>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</si>
  <si>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</si>
  <si>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</si>
  <si>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</si>
  <si>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</si>
  <si>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</si>
  <si>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</si>
  <si>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</si>
  <si>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</si>
  <si>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</si>
  <si>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</si>
  <si>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</si>
  <si>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</si>
  <si>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</si>
  <si>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</si>
  <si>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</si>
  <si>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</si>
  <si>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</si>
  <si>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</si>
  <si>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</si>
  <si>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</si>
  <si>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</si>
  <si>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</si>
  <si>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</si>
  <si>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</si>
  <si>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</si>
  <si>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</si>
  <si>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</si>
  <si>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</si>
  <si>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</si>
  <si>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</si>
  <si>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</si>
  <si>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</si>
  <si>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</si>
  <si>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</si>
  <si>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</si>
  <si>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</si>
  <si>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</si>
  <si>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</si>
  <si>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</si>
  <si>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</si>
  <si>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</si>
  <si>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</si>
  <si>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</si>
  <si>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</si>
  <si>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</si>
  <si>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</si>
  <si>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</si>
  <si>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</si>
  <si>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</si>
  <si>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</si>
  <si>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</si>
  <si>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</si>
  <si>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</si>
  <si>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</si>
  <si>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</si>
  <si>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</si>
  <si>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</si>
  <si>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</si>
  <si>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</si>
  <si>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</si>
  <si>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</si>
  <si>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</si>
  <si>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</si>
  <si>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</si>
  <si>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</si>
  <si>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</si>
  <si>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</si>
  <si>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</si>
  <si>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</si>
  <si>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</si>
  <si>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</si>
  <si>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</si>
  <si>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</si>
  <si>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</si>
  <si>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</si>
  <si>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</si>
  <si>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</si>
  <si>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</si>
  <si>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</si>
  <si>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</si>
  <si>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</si>
  <si>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</si>
  <si>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</si>
  <si>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</si>
  <si>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</si>
  <si>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</si>
  <si>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</si>
  <si>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</si>
  <si>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</si>
  <si>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</si>
  <si>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</si>
  <si>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</si>
  <si>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</si>
  <si>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</si>
  <si>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</si>
  <si>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</si>
  <si>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</si>
  <si>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</si>
  <si>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</si>
  <si>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</si>
  <si>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</si>
  <si>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</si>
  <si>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</si>
  <si>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</si>
  <si>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</si>
  <si>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</si>
  <si>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</si>
  <si>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</si>
  <si>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</si>
  <si>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</si>
  <si>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</si>
  <si>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</si>
  <si>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</si>
  <si>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</si>
  <si>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</si>
  <si>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</si>
  <si>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</si>
  <si>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</si>
  <si>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</si>
  <si>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</si>
  <si>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</si>
  <si>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</si>
  <si>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</si>
  <si>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</si>
  <si>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</si>
  <si>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</si>
  <si>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</si>
  <si>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</si>
  <si>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</si>
  <si>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</si>
  <si>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</si>
  <si>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</si>
  <si>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</si>
  <si>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</si>
  <si>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</si>
  <si>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</si>
  <si>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</si>
  <si>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</si>
  <si>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</si>
  <si>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</si>
  <si>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</si>
  <si>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</si>
  <si>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</si>
  <si>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</si>
  <si>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</si>
  <si>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</si>
  <si>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</si>
  <si>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</si>
  <si>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</si>
  <si>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</si>
  <si>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</si>
  <si>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</si>
  <si>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</si>
  <si>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</si>
  <si>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</si>
  <si>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</si>
  <si>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</si>
  <si>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</si>
  <si>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</si>
  <si>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</si>
  <si>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</si>
  <si>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</si>
  <si>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</si>
  <si>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</si>
  <si>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</si>
  <si>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</si>
  <si>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</si>
  <si>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</si>
  <si>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</si>
  <si>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</si>
  <si>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</si>
  <si>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</si>
  <si>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</si>
  <si>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</si>
  <si>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</si>
  <si>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</si>
  <si>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</si>
  <si>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</si>
  <si>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</si>
  <si>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</si>
  <si>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</si>
  <si>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</si>
  <si>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</si>
  <si>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</si>
  <si>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</si>
  <si>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</si>
  <si>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</si>
  <si>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</si>
  <si>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</si>
  <si>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</si>
  <si>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</si>
  <si>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</si>
  <si>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</si>
  <si>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</si>
  <si>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</si>
  <si>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</si>
  <si>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</si>
  <si>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</si>
  <si>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</si>
  <si>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</si>
  <si>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</si>
  <si>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</si>
  <si>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</si>
  <si>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</si>
  <si>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</si>
  <si>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</si>
  <si>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</si>
  <si>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</si>
  <si>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</si>
  <si>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</si>
  <si>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</si>
  <si>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</si>
  <si>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</si>
  <si>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</si>
  <si>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</si>
  <si>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</si>
  <si>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</si>
  <si>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</si>
  <si>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</si>
  <si>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</si>
  <si>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</si>
  <si>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</si>
  <si>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</si>
  <si>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</si>
  <si>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</si>
  <si>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</si>
  <si>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</si>
  <si>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</si>
  <si>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</si>
  <si>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</si>
  <si>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</si>
  <si>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</si>
  <si>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</si>
  <si>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</si>
  <si>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</si>
  <si>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</si>
  <si>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</si>
  <si>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</si>
  <si>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</si>
  <si>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</si>
  <si>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</si>
  <si>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</si>
  <si>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</si>
  <si>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</si>
  <si>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</si>
  <si>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</si>
  <si>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</si>
  <si>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</si>
  <si>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</si>
  <si>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</si>
  <si>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</si>
  <si>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</si>
  <si>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</si>
  <si>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</si>
  <si>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</si>
  <si>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</si>
  <si>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</si>
  <si>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</si>
  <si>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</si>
  <si>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</si>
  <si>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</si>
  <si>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</si>
  <si>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</si>
  <si>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</si>
  <si>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</si>
  <si>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</si>
  <si>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</si>
  <si>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</si>
  <si>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</si>
  <si>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</si>
  <si>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</si>
  <si>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</si>
  <si>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</si>
  <si>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</si>
  <si>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</si>
  <si>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</si>
  <si>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</si>
  <si>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</si>
  <si>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</si>
  <si>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</si>
  <si>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</si>
  <si>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</si>
  <si>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</si>
  <si>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</si>
  <si>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</si>
  <si>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</si>
  <si>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</si>
  <si>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</si>
  <si>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</si>
  <si>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</si>
  <si>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</si>
  <si>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</si>
  <si>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</si>
  <si>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</si>
  <si>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</si>
  <si>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</si>
  <si>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</si>
  <si>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</si>
  <si>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</si>
  <si>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</si>
  <si>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</si>
  <si>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</si>
  <si>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</si>
  <si>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</si>
  <si>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</si>
  <si>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</si>
  <si>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</si>
  <si>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</si>
  <si>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</si>
  <si>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</si>
  <si>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</si>
  <si>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</si>
  <si>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</si>
  <si>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</si>
  <si>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</si>
  <si>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</si>
  <si>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</si>
  <si>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</si>
  <si>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</si>
  <si>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</si>
  <si>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</si>
  <si>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</si>
  <si>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</si>
  <si>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</si>
  <si>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</si>
  <si>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</si>
  <si>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</si>
  <si>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</si>
  <si>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</si>
  <si>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</si>
  <si>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</si>
  <si>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</si>
  <si>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</si>
  <si>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</si>
  <si>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</si>
  <si>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</si>
  <si>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</si>
  <si>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</si>
  <si>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</si>
  <si>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</si>
  <si>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</si>
  <si>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</si>
  <si>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</si>
  <si>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</si>
  <si>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</si>
  <si>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</si>
  <si>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</si>
  <si>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</si>
  <si>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</si>
  <si>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</si>
  <si>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</si>
  <si>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</si>
  <si>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</si>
  <si>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</si>
  <si>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</si>
  <si>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</si>
  <si>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</si>
  <si>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</si>
  <si>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</si>
  <si>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</si>
  <si>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</si>
  <si>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</si>
  <si>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</si>
  <si>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</si>
  <si>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</si>
  <si>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</si>
  <si>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</si>
  <si>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</si>
  <si>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</si>
  <si>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</si>
  <si>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</si>
  <si>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</si>
  <si>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</si>
  <si>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</si>
  <si>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</si>
  <si>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</si>
  <si>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</si>
  <si>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</si>
  <si>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</si>
  <si>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</si>
  <si>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</si>
  <si>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</si>
  <si>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</si>
  <si>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</si>
  <si>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</si>
  <si>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</si>
  <si>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</si>
  <si>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</si>
  <si>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</si>
  <si>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</si>
  <si>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</si>
  <si>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</si>
  <si>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</si>
  <si>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</si>
  <si>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</si>
  <si>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</si>
  <si>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</si>
  <si>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</si>
  <si>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</si>
  <si>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</si>
  <si>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</si>
  <si>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</si>
  <si>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</si>
  <si>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</si>
  <si>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</si>
  <si>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</si>
  <si>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</si>
  <si>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</si>
  <si>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</si>
  <si>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</si>
  <si>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</si>
  <si>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</si>
  <si>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</si>
  <si>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</si>
  <si>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</si>
  <si>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</si>
  <si>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</si>
  <si>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</si>
  <si>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</si>
  <si>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</si>
  <si>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</si>
  <si>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</si>
  <si>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</si>
  <si>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</si>
  <si>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</si>
  <si>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</si>
  <si>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</si>
  <si>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</si>
  <si>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</si>
  <si>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</si>
  <si>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</si>
  <si>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</si>
  <si>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</si>
  <si>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</si>
  <si>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</si>
  <si>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</si>
  <si>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</si>
  <si>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</si>
  <si>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</si>
  <si>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</si>
  <si>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</si>
  <si>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</si>
  <si>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</si>
  <si>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</si>
  <si>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</si>
  <si>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</si>
  <si>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</si>
  <si>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</si>
  <si>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</si>
  <si>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</si>
  <si>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</si>
  <si>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</si>
  <si>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</si>
  <si>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</si>
  <si>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</si>
  <si>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</si>
  <si>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</si>
  <si>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</si>
  <si>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</si>
  <si>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</si>
  <si>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</si>
  <si>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</si>
  <si>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</si>
  <si>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</si>
  <si>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</si>
  <si>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</si>
  <si>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</si>
  <si>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</si>
  <si>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</si>
  <si>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</si>
  <si>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</si>
  <si>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</si>
  <si>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</si>
  <si>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</si>
  <si>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</si>
  <si>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</si>
  <si>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</si>
  <si>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</si>
  <si>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</si>
  <si>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</si>
  <si>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</si>
  <si>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</si>
  <si>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</si>
  <si>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</si>
  <si>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</si>
  <si>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</si>
  <si>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</si>
  <si>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</si>
  <si>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</si>
  <si>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</si>
  <si>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</si>
  <si>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</si>
  <si>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</si>
  <si>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</si>
  <si>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</si>
  <si>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</si>
  <si>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</si>
  <si>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</si>
  <si>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</si>
  <si>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</si>
  <si>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</si>
  <si>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</si>
  <si>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</si>
  <si>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</si>
  <si>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</si>
  <si>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</si>
  <si>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</si>
  <si>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</si>
  <si>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</si>
  <si>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</si>
  <si>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</si>
  <si>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</si>
  <si>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</si>
  <si>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</si>
  <si>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</si>
  <si>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</si>
  <si>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</si>
  <si>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</si>
  <si>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</si>
  <si>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</si>
  <si>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</si>
  <si>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</si>
  <si>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</si>
  <si>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</si>
  <si>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</si>
  <si>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</si>
  <si>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</si>
  <si>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</si>
  <si>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</si>
  <si>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</si>
  <si>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</si>
  <si>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</si>
  <si>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</si>
  <si>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</si>
  <si>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</si>
  <si>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</si>
  <si>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</si>
  <si>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</si>
  <si>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</si>
  <si>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</si>
  <si>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</si>
  <si>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</si>
  <si>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</si>
  <si>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</si>
  <si>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</si>
  <si>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</si>
  <si>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</si>
  <si>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</si>
  <si>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</si>
  <si>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</si>
  <si>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</si>
  <si>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</si>
  <si>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</si>
  <si>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</si>
  <si>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</si>
  <si>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</si>
  <si>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</si>
  <si>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</si>
  <si>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</si>
  <si>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</si>
  <si>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</si>
  <si>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</si>
  <si>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</si>
  <si>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</si>
  <si>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</si>
  <si>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</si>
  <si>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</si>
  <si>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</si>
  <si>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</si>
  <si>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</si>
  <si>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</si>
  <si>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</si>
  <si>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</si>
  <si>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</si>
  <si>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</si>
  <si>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</si>
  <si>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</si>
  <si>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</si>
  <si>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</si>
  <si>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</si>
  <si>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</si>
  <si>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</si>
  <si>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</si>
  <si>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</si>
  <si>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</si>
  <si>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</si>
  <si>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</si>
  <si>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</si>
  <si>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</si>
  <si>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</si>
  <si>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</si>
  <si>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</si>
  <si>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</si>
  <si>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No of records</t>
  </si>
  <si>
    <t>No of blank in churn</t>
  </si>
  <si>
    <t>No of blank in customerid</t>
  </si>
  <si>
    <t>No of blank in monthly charges</t>
  </si>
  <si>
    <t>No of blank in  totalcharges</t>
  </si>
  <si>
    <t>TELECOM CUSTOMER CHURN ANALYSIS</t>
  </si>
  <si>
    <t>Total customers</t>
  </si>
  <si>
    <t>Churned Customers</t>
  </si>
  <si>
    <t>Active Customers</t>
  </si>
  <si>
    <t>Churn Rate</t>
  </si>
  <si>
    <t>Average Monthly Charges</t>
  </si>
  <si>
    <t>Total Monthly Charges</t>
  </si>
  <si>
    <t>Average Tenure</t>
  </si>
  <si>
    <t>Row Labels</t>
  </si>
  <si>
    <t>Grand Total</t>
  </si>
  <si>
    <t>Column Labels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</si>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</sst>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[Telecom_Customer_Churn.xlsx..xlsx]Analysis!PivotTable2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Analysis!$G$11:$G$12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Analysis!$F$13:$F$15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Analysis!$G$13:$G$15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6-4F63-BCF3-1A393664B7BA}"/>
            </c:ext>
          </c:extLst>
        </c:ser>
        <c:ser>
          <c:idx val="1"/>
          <c:order val="1"/>
          <c:tx>
            <c:strRef>
              <c:f>Analysis!$H$11:$H$12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Analysis!$F$13:$F$15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Analysis!$H$13:$H$15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6-4F63-BCF3-1A393664B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328543"/>
        <c:axId val="730329503"/>
      </c:barChart>
      <c:catAx>
        <c:axId val="73032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29503"/>
        <c:crosses val="autoZero"/>
        <c:auto val="1"/>
        <c:lblAlgn val="ctr"/>
        <c:lblOffset val="100"/>
        <c:noMultiLvlLbl val="0"/>
      </c:catAx>
      <c:valAx>
        <c:axId val="73032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2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769620</xdr:colOff>
      <xdr:row>11</xdr:row>
      <xdr:rowOff>76200</xdr:rowOff>
    </xdr:from>
    <xdr:to>
      <xdr:col>4</xdr:col>
      <xdr:colOff>91440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99592-8F0C-45B4-FD88-532C015B7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tha gajendran" refreshedDate="46309.812405555553" createdVersion="8" refreshedVersion="8" minRefreshableVersion="3" recordCount="7043" xr:uid="{7CD17B30-DE75-4FE7-969A-E5C9F1F35826}">
  <cacheSource type="worksheet">
    <worksheetSource name="Churn_data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tring="0" containsBlank="1" containsNumber="1" minValue="1.2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8.149999999999999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1.9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46.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36.29999999999995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.15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93.1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.200000000000000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5.4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7.1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.70000000000005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9.649999999999999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.2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.200000000000000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3.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64.65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27.64999999999998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.10000000000002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71.4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33.94999999999999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.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.200000000000000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5.94999999999999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.2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3.9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8.150000000000006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.5500000000000007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99.6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5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.6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6.5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9.80000000000001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5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.1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.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5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.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8.65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8.70000000000005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67.4500000000000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9.55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7.599999999999994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66.15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5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.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7.4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.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1.9500000000000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m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.4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5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2.5499999999999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2.6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6.29999999999995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29.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.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33.29999999999995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4.39999999999998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71.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6.5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.35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9.89999999999998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.19999999999999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.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39.44999999999999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.4500000000000002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13.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18.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5.94999999999999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5.900000000000006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5.65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1.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.70000000000005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m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.30000000000001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58.1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88.5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.70000000000005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9.29999999999995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.4500000000000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7.4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4.55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84.65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27.39999999999998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43.30000000000001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.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9.650000000000006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17.9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.55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.89999999999999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5.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5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4.80000000000001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8.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m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.450000000000003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.5500000000000007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.9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.900000000000006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4.64999999999998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.850000000000001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1.19999999999999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7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13.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.2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55.9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4.85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.79999999999995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.35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.200000000000000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m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47.69999999999999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.5500000000000007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38.5499999999999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.7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7.5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74.65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72.6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5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52.4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11.64999999999998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29.35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5.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.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9.600000000000001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.10000000000000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.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.64999999999998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.9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33.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46.19999999999999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3.700000000000003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15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.20000000000005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.14999999999998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49.5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9.099999999999994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.15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m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.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4.85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.5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.35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.850000000000001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8.4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4.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7.15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.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5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.5499999999999998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7.3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9.15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82.95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.55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3.9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93.4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57.85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.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.4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5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.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.6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.150000000000006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.5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.35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82.79999999999995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.599999999999994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5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16.65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5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7.85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44.79999999999995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93.89999999999998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.19999999999999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.9500000000000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2.4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.9499999999999993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1.15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.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11.15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.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.200000000000000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99.15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48.8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.4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9.1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.55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5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.099999999999994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4.849999999999994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.200000000000000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.6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43.30000000000001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3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2.79999999999995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.15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.4500000000000002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.15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.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.0999999999999996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8.1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.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7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3.549999999999997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2.450000000000003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1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5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.9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43.35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29.20000000000005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37.5499999999999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68.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3.650000000000006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2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24.65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65.14999999999998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64.4500000000000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.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.15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.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.5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5.549999999999997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1.5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.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7.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3.15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6.30000000000001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94.64999999999998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5.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6.849999999999994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9.100000000000001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.85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3.65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.1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5.60000000000002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.1999999999999993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77.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.7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.9000000000000004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94.89999999999998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2.65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.650000000000006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.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1.4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4.7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5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49.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.0999999999999996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8.1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.4500000000000002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64.85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.19999999999999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.200000000000000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.9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9.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28.9500000000000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48.85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8.549999999999997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1.9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.4500000000000002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6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7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1.65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1.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43.4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.4500000000000002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.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1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2.89999999999998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8.15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43.20000000000005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7.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38.15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.94999999999999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71.6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.349999999999994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.4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59.55000000000001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.55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8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4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6.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.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67.15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3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.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7.6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.35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73.1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58.6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25.15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2.900000000000006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.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4.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.79999999999995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46.1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.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6.89999999999999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.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96.65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71.9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.65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5.549999999999997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4.55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.2999999999999998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19.10000000000002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11.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m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79.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95.65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6.5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56.94999999999999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6.600000000000001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.8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.6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5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8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.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7.89999999999999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36.9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42.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7.10000000000002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25.15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.5500000000000007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2.5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5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7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88.8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8.35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.6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96.10000000000002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.35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5.799999999999997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17.64999999999998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.35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.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.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5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1.65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5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.95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.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7.4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.20000000000005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.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1.70000000000005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48.44999999999999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31.69999999999999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m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.85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.10000000000002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.85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5.79999999999995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83.10000000000002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.15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.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.85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.4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.799999999999997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68.55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.65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4.65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.4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.10000000000002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.70000000000005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3.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6.599999999999994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.200000000000000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5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.2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88.45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5.4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94.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7.10000000000000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66.9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.64999999999998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6.35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31.85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8.20000000000005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61.6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.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8.15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33.9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.35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.0999999999999996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3.10000000000002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58.1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.94999999999999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.20000000000005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38.4500000000000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.3000000000000007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.799999999999997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7.64999999999998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32.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34.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.15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m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4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.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5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25.85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2.35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.9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.20000000000005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7.60000000000002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.7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9.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.35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.9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.1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62.14999999999998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.5500000000000007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3.7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54.6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.55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.64999999999998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12.1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.15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97.15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42.65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.150000000000006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.4500000000000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7.7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4.849999999999994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.4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51.9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5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.2999999999999998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.5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17.70000000000005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52.35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.44999999999999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75.10000000000002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67.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67.65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65.39999999999998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.1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7.1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54.80000000000001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6.35000000000002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5.950000000000003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.15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5.1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42.70000000000005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.10000000000002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8.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57.55000000000001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.55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.85000000000002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.200000000000000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7.3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.45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3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31.4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.8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97.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.4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78.9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28.9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.849999999999994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.2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21.60000000000002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.4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.849999999999994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.15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m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6.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7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5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.10000000000002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5.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9.900000000000006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.5499999999999998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3.3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92.35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.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7.35000000000002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4.9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.15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78.55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3.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9.95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.1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5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.15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5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.6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83.5499999999999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5.44999999999999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.8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5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5.5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.200000000000000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.15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3.95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.5499999999999998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43.80000000000001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6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1.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.200000000000000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76.5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92.89999999999998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.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96.6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5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.35000000000002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6.3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6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8.649999999999999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7.35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41.80000000000001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.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5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9.80000000000001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9.6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.15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.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.5499999999999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.2999999999999998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68.15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4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77.95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94.35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.94999999999999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.099999999999994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5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6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.3000000000000007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6.85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1.85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.200000000000000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78.95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6.20000000000005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6.89999999999998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8.150000000000006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24.14999999999998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8.8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.6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98.85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.35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9.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6.9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.549999999999997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76.2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600000000000001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7.149999999999999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.85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.69999999999999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.9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.85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2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5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.80000000000001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23.85000000000002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31.1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5.549999999999997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88.4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.85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.35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.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5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.1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9.55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1.5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3.15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39.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85.45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.099999999999994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8.6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.400000000000006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71.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.70000000000005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.2999999999999998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5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.4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79.65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1.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6.89999999999999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.64999999999998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29.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.45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1.1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.64999999999998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96.9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.4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.299999999999997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.2999999999999998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.400000000000006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69.65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6.5499999999999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53.5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.85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.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7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.85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.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.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1.1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.8000000000000007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5.30000000000001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68.85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6.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5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.2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m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.5499999999999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.89999999999999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9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.0999999999999996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35.69999999999999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23.64999999999998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3.20000000000005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.35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62.1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25.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m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14.64999999999998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1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9.35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2.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.200000000000000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.099999999999994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7.600000000000001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8.700000000000003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2.35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5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1.69999999999999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.2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5.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25.79999999999995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8.6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51.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5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9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7.80000000000001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.9500000000000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.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.6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9.4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.1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.60000000000002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8.5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12.35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93.39999999999998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6.850000000000001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.5499999999999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2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.65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6.6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2402C-32FA-42D4-AA6F-EE7A074A9ACC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F11:H15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3">
    <i>
      <x/>
    </i>
    <i>
      <x v="1"/>
    </i>
    <i>
      <x v="2"/>
    </i>
  </rowItems>
  <colFields count="1">
    <field x="20"/>
  </colFields>
  <colItems count="2">
    <i>
      <x/>
    </i>
    <i>
      <x v="1"/>
    </i>
  </colItems>
  <dataFields count="1">
    <dataField name="Count of CustomerID" fld="0" subtotal="count" baseField="0" baseItem="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0A41E-658E-4A7D-8561-1FAFCC894E1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FFC12-4CA9-435D-9E55-6581A0DEB3C9}" name="Churn_data" displayName="Churn_data" ref="A1:U7044" totalsRowShown="0">
  <autoFilter ref="A1:U7044" xr:uid="{0C3FFC12-4CA9-435D-9E55-6581A0DEB3C9}"/>
  <tableColumns count="21">
    <tableColumn id="1" xr3:uid="{2266FE19-C2F4-4B79-99F6-5EE3599B062F}" name="CustomerID"/>
    <tableColumn id="2" xr3:uid="{889ABF75-7ADB-4EC4-9A96-1F59A7479904}" name="Gender"/>
    <tableColumn id="3" xr3:uid="{9C413722-E2B2-47A9-9763-380C30EA1482}" name="SeniorCitizen"/>
    <tableColumn id="4" xr3:uid="{12AD494E-B647-4884-A987-C36F52EAADFB}" name="Partner"/>
    <tableColumn id="5" xr3:uid="{28CBC595-DEB6-4D08-AC9D-3855043B9397}" name="Dependents"/>
    <tableColumn id="6" xr3:uid="{0FD49099-9FE4-4728-81CF-BEA0B9B0CCAC}" name="Tenure"/>
    <tableColumn id="7" xr3:uid="{F86915AF-79D9-452A-866E-079D69226E0F}" name="PhoneService"/>
    <tableColumn id="8" xr3:uid="{6113285B-34BA-44B9-BD72-466793198475}" name="MultipleLines"/>
    <tableColumn id="9" xr3:uid="{8AF87794-2E71-4D6C-9F20-CD723E19F145}" name="InternetService"/>
    <tableColumn id="10" xr3:uid="{BECB6225-E5CF-4EBD-934A-180192AC5371}" name="OnlineSecurity"/>
    <tableColumn id="11" xr3:uid="{6D268169-E6B4-497A-9B02-5BF12B2CA68B}" name="OnlineBackup"/>
    <tableColumn id="12" xr3:uid="{A223F49C-907F-4176-8764-D04A8784DC79}" name="DeviceProtection"/>
    <tableColumn id="13" xr3:uid="{A4B97DA9-4DEE-4FFE-8969-3538068B1A95}" name="TechSupport"/>
    <tableColumn id="14" xr3:uid="{364786D9-4EBF-4D9B-B401-B6A473BEDA57}" name="StreamingTV"/>
    <tableColumn id="15" xr3:uid="{B856DA77-D2AF-4AF1-BBE3-85DFB7D6DCEC}" name="StreamingMovies"/>
    <tableColumn id="16" xr3:uid="{AE7D309A-B6D2-4755-BBA4-458CD2C089CB}" name="Contract"/>
    <tableColumn id="17" xr3:uid="{1BDCAA85-E188-47AF-A102-00A6F04CBC77}" name="PaperlessBilling"/>
    <tableColumn id="18" xr3:uid="{2DF07185-AC0C-43E8-ABB1-11C0FDDEFA8F}" name="PaymentMethod"/>
    <tableColumn id="19" xr3:uid="{DE15A68C-E1A2-449F-9F91-92054BE79F06}" name="MonthlyCharges"/>
    <tableColumn id="20" xr3:uid="{2A9001F5-B535-4E6C-AE83-AAF454B05BAC}" name="TotalCharges"/>
    <tableColumn id="21" xr3:uid="{8BF97AA2-E144-4CF9-80F5-A2C8574D96D0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C9A7-A875-41DE-B245-D08625559A24}">
  <dimension ref="A1:Y7044"/>
  <sheetViews>
    <sheetView tabSelected="1" topLeftCell="M1" workbookViewId="0">
      <selection activeCell="W9" sqref="W9"/>
    </sheetView>
  </sheetViews>
  <sheetFormatPr defaultRowHeight="14.4" x14ac:dyDescent="0.3"/>
  <cols>
    <col min="1" max="1" width="13.21875" bestFit="1" customWidth="1"/>
    <col min="2" max="2" width="9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88671875" bestFit="1" customWidth="1"/>
    <col min="9" max="9" width="15.6640625" customWidth="1"/>
    <col min="10" max="11" width="16.109375" bestFit="1" customWidth="1"/>
    <col min="12" max="12" width="17.21875" customWidth="1"/>
    <col min="13" max="14" width="16.109375" bestFit="1" customWidth="1"/>
    <col min="15" max="15" width="17.21875" customWidth="1"/>
    <col min="16" max="16" width="14.109375" bestFit="1" customWidth="1"/>
    <col min="17" max="17" width="16.33203125" customWidth="1"/>
    <col min="18" max="18" width="21.5546875" bestFit="1" customWidth="1"/>
    <col min="19" max="19" width="16.109375" customWidth="1"/>
    <col min="20" max="20" width="13.6640625" customWidth="1"/>
    <col min="21" max="21" width="7.77734375" customWidth="1"/>
    <col min="23" max="23" width="18.6640625" customWidth="1"/>
    <col min="24" max="24" width="11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5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</v>
      </c>
      <c r="T2">
        <v>29.85</v>
      </c>
      <c r="U2" t="s">
        <v>24</v>
      </c>
    </row>
    <row r="3" spans="1:25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X3" t="s">
        <v>7079</v>
      </c>
      <c r="Y3">
        <f>ROWS(Churn_data[])</f>
        <v>7043</v>
      </c>
    </row>
    <row r="4" spans="1:25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18.149999999999999</v>
      </c>
      <c r="U4" t="s">
        <v>23</v>
      </c>
      <c r="X4" t="s">
        <v>7083</v>
      </c>
      <c r="Y4">
        <f ca="1">COUNTBLANK(Churn_data[TotalCharges])</f>
        <v>11</v>
      </c>
    </row>
    <row r="5" spans="1:25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184.75</v>
      </c>
      <c r="U5" t="s">
        <v>24</v>
      </c>
      <c r="X5" t="s">
        <v>7082</v>
      </c>
      <c r="Y5">
        <f>COUNTBLANK(Churn_data[MonthlyCharges])</f>
        <v>0</v>
      </c>
    </row>
    <row r="6" spans="1:25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X6" t="s">
        <v>7081</v>
      </c>
      <c r="Y6">
        <f>COUNTBLANK(Churn_data[CustomerID])</f>
        <v>0</v>
      </c>
    </row>
    <row r="7" spans="1:25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82.5</v>
      </c>
      <c r="U7" t="s">
        <v>23</v>
      </c>
      <c r="X7" t="s">
        <v>7080</v>
      </c>
      <c r="Y7">
        <f>COUNTBLANK(Churn_data[Churn])</f>
        <v>0</v>
      </c>
    </row>
    <row r="8" spans="1:25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5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31.9</v>
      </c>
      <c r="U9" t="s">
        <v>24</v>
      </c>
    </row>
    <row r="10" spans="1:25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346.5</v>
      </c>
      <c r="U10" t="s">
        <v>23</v>
      </c>
    </row>
    <row r="11" spans="1:25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5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5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5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5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536.29999999999995</v>
      </c>
      <c r="U15" t="s">
        <v>23</v>
      </c>
    </row>
    <row r="16" spans="1:25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2.15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193.1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2.2000000000000002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115.4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477.1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545.70000000000005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19.649999999999999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257.2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2.2000000000000002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733.5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164.65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327.64999999999998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326.10000000000002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171.4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133.94999999999999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54.5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2.2000000000000002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135.94999999999999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4.2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413.9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78.150000000000006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8.5500000000000007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199.6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2172.5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7.6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66.55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159.80000000000001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2231.5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435.1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88.5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139.5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147.5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458.65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538.70000000000005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567.45000000000005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239.55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77.599999999999994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166.15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2149.5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72.5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57.4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68.5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621.95000000000005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f ca="1">IF(ISBLANK(Churn_data[[#This Row],[TotalCharges]]),"",VALUE(Churn_data[[#This Row],[TotalCharges]]))</f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2.4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131.5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552.54999999999995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32.6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576.29999999999995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529.5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76.5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633.29999999999995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324.39999999999998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871.5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836.5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486.35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319.89999999999998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162.19999999999999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2.5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139.44999999999999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2.4500000000000002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113.5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418.5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135.94999999999999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65.900000000000006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485.65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191.5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573.70000000000005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f ca="1">IF(TRIM(Churn_data[[#This Row],[TotalCharges]]&amp;"")="","",VALUE(Churn_data[[#This Row],[TotalCharges]]))</f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151.30000000000001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158.1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288.5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561.70000000000005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559.29999999999995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651.45000000000005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37.4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214.55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584.65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327.39999999999998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143.30000000000001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2.5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69.650000000000006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517.9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831.55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17.899999999999999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25.5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2538.5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134.80000000000001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38.5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f ca="1">IF(TRIM(Churn_data[[#This Row],[TotalCharges]]&amp;"")="","",VALUE(Churn_data[[#This Row],[TotalCharges]]))</f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32.450000000000003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9.5500000000000007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54.95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66.900000000000006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324.64999999999998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16.850000000000001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161.19999999999999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27.6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313.5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221.2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155.9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134.85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558.79999999999995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459.35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2.2000000000000002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f ca="1">IF(TRIM(Churn_data[[#This Row],[TotalCharges]]&amp;"")="","",VALUE(Churn_data[[#This Row],[TotalCharges]]))</f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147.69999999999999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8.5500000000000007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638.54999999999995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22.7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27.5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174.65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172.6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2326.5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152.4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311.64999999999998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129.35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155.5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25.5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19.600000000000001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19.100000000000001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183.5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282.64999999999998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473.9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233.5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146.19999999999999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33.700000000000003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124.15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546.20000000000005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268.14999999999998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249.5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69.099999999999994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2.15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f ca="1">IF(TRIM(Churn_data[[#This Row],[TotalCharges]]&amp;"")="","",VALUE(Churn_data[[#This Row],[TotalCharges]]))</f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33.5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494.85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62.55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2.35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17.850000000000001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138.4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154.5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457.15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5.5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2555.5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2.5499999999999998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247.3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139.15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282.95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213.55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123.9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193.4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157.85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19.5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3.4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2199.5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2.5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27.6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78.150000000000006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52.55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111.35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582.79999999999995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77.599999999999994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134.5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516.65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8375.5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477.85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544.79999999999995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293.89999999999998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162.19999999999999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613.95000000000005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112.4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8.9499999999999993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121.15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2.5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511.15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7.5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2.2000000000000002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599.15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248.8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121.4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39.1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246.55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2165.5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75.099999999999994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74.849999999999994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2.2000000000000002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7.6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143.30000000000001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23.3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632.79999999999995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2.15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2.4500000000000002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2.15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143.5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5.0999999999999996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38.1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111.5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17.7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33.549999999999997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32.450000000000003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11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146.5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7.9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143.35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529.20000000000005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537.54999999999995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568.5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73.650000000000006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12.2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124.65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265.14999999999998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564.45000000000005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114.5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7.15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9.5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16.5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35.549999999999997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241.5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7.5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47.5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493.15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136.30000000000001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294.64999999999998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125.5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76.849999999999994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19.100000000000001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125.85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433.65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7.1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325.60000000000002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8.1999999999999993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177.5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14.7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4.9000000000000004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294.89999999999998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132.65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67.650000000000006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5.5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31.4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64.7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8277.5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149.5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5.0999999999999996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138.1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2.4500000000000002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564.85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154.19999999999999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2.2000000000000002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26.9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289.5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628.95000000000005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148.85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38.549999999999997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131.9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2.4500000000000002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16.2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17.5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121.65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61.5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143.4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2.4500000000000002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111.5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21.95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262.89999999999998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418.15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543.20000000000005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97.5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538.15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143.94999999999999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171.6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67.349999999999994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2.4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159.55000000000001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218.55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28.1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44.2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126.5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17.5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167.15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23.75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67.5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37.6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431.35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573.1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158.6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125.15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72.900000000000006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93.5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54.5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652.79999999999995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146.1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2.1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16.899999999999999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71.5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196.65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571.9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469.65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35.549999999999997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214.55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2.2999999999999998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319.10000000000002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111.5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f ca="1">IF(TRIM(Churn_data[[#This Row],[TotalCharges]]&amp;"")="","",VALUE(Churn_data[[#This Row],[TotalCharges]]))</f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179.5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195.65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216.5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156.94999999999999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16.600000000000001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58.8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7.6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2413.5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18.55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18.5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17.899999999999999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536.9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242.5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287.10000000000002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125.15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9.5500000000000007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62.55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131.5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27.75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288.8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128.35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31.6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296.10000000000002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2.35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35.799999999999997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317.64999999999998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422.35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2.1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468.5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2455.5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121.65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134.5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14.95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2.5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37.4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611.20000000000005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593.5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631.70000000000005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148.44999999999999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131.69999999999999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f ca="1">IF(TRIM(Churn_data[[#This Row],[TotalCharges]]&amp;"")="","",VALUE(Churn_data[[#This Row],[TotalCharges]]))</f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7.85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311.10000000000002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28.85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545.79999999999995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283.10000000000002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8.15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799.5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8.85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3.4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33.799999999999997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268.55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49.65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484.65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2.4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256.10000000000002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578.70000000000005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333.5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76.599999999999994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2.2000000000000002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2264.5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251.2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288.45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65.45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394.5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17.100000000000001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166.9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289.64999999999998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126.35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531.85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578.20000000000005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161.6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66.5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128.15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133.9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28.35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4.0999999999999996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263.10000000000002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158.1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149.94999999999999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533.20000000000005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538.45000000000005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8.3000000000000007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33.799999999999997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287.64999999999998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132.5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534.5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2.15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f ca="1">IF(TRIM(Churn_data[[#This Row],[TotalCharges]]&amp;"")="","",VALUE(Churn_data[[#This Row],[TotalCharges]]))</f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54.2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53.5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149.5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525.85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32.35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26.9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595.20000000000005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267.60000000000002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251.7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39.5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7.35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123.9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7.1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262.14999999999998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8.5500000000000007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223.7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154.6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13.55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261.64999999999998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512.1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482.15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197.15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142.65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79.150000000000006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529.45000000000005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67.7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64.849999999999994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462.4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151.9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15.5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2.2999999999999998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62.55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517.70000000000005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152.35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162.44999999999999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275.10000000000002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167.5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167.65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265.39999999999998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414.1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437.1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154.80000000000001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266.35000000000002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35.950000000000003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2.15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35.1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642.70000000000005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296.10000000000002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18.5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157.55000000000001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218.55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273.85000000000002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2.2000000000000002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67.3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239.45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33.6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131.4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232.8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497.5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7.4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178.9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128.9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81.849999999999994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61.2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321.60000000000002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28.4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78.849999999999994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27.15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f ca="1">IF(TRIM(Churn_data[[#This Row],[TotalCharges]]&amp;"")="","",VALUE(Churn_data[[#This Row],[TotalCharges]]))</f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36.5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47.95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2479.5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256.10000000000002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575.5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69.900000000000006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2.5499999999999998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263.3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192.35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8.5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297.35000000000002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454.9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452.15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278.55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13.5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259.95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125.1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35.15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12.15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2395.5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7.6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583.54999999999995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155.44999999999999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16.8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148.5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245.5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2.2000000000000002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7.15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263.95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2.5499999999999998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143.80000000000001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46.55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71.5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2.2000000000000002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276.5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292.89999999999998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2.5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196.6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2248.5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321.35000000000002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216.3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46.9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18.649999999999999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487.35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141.80000000000001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2.5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2333.5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129.80000000000001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149.6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7.15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154.5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598.54999999999995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2.2999999999999998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168.15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44.65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277.95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194.35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147.94999999999999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72.099999999999994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153.5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16.2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8.3000000000000007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56.85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111.85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2.2000000000000002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278.95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576.20000000000005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286.89999999999998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68.150000000000006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324.14999999999998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68.8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34.6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198.85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2.35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69.5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56.9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36.549999999999997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276.2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19.600000000000001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17.149999999999999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113.85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157.69999999999999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52.95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28.85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22.9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2369.5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162.80000000000001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323.85000000000002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131.1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35.549999999999997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588.4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486.85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8.35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2.5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35.5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7.1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839.55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61.55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33.15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739.5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285.45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73.099999999999994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118.6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73.400000000000006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571.5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586.70000000000005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2.2999999999999998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136.5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2.4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179.65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331.5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16.899999999999999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279.64999999999998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229.5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213.45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481.1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319.64999999999998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496.9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32.4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35.299999999999997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2.2999999999999998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77.400000000000006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569.65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526.54999999999995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253.5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113.85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11.5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17.25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7.85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9.5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2.1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131.1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8.8000000000000007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145.30000000000001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168.85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46.5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2122.5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231.2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f ca="1">IF(TRIM(Churn_data[[#This Row],[TotalCharges]]&amp;"")="","",VALUE(Churn_data[[#This Row],[TotalCharges]]))</f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646.54999999999995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17.899999999999999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39.65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5.0999999999999996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135.69999999999999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323.64999999999998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653.20000000000005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2.35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162.1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125.5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f ca="1">IF(TRIM(Churn_data[[#This Row],[TotalCharges]]&amp;"")="","",VALUE(Churn_data[[#This Row],[TotalCharges]]))</f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314.64999999999998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21.55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39.35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72.5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2.2000000000000002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78.099999999999994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17.600000000000001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38.700000000000003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512.35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2483.5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131.69999999999999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257.2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535.5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525.79999999999995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128.6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151.5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2424.5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29.25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137.80000000000001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572.95000000000005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388.5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473.6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39.4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425.1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278.60000000000002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228.5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512.35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293.39999999999998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16.850000000000001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515.54999999999995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12.75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7.65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36.6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5007-E960-4786-A4C6-6919BB02C28F}">
  <dimension ref="A1:I15"/>
  <sheetViews>
    <sheetView workbookViewId="0">
      <selection activeCell="G20" sqref="G20"/>
    </sheetView>
  </sheetViews>
  <sheetFormatPr defaultRowHeight="14.4" x14ac:dyDescent="0.3"/>
  <cols>
    <col min="1" max="1" width="33.77734375" bestFit="1" customWidth="1"/>
    <col min="6" max="6" width="18.21875" bestFit="1" customWidth="1"/>
    <col min="7" max="7" width="15.5546875" bestFit="1" customWidth="1"/>
    <col min="8" max="8" width="5" bestFit="1" customWidth="1"/>
    <col min="9" max="9" width="10.5546875" bestFit="1" customWidth="1"/>
  </cols>
  <sheetData>
    <row r="1" spans="1:9" x14ac:dyDescent="0.3">
      <c r="A1" t="s">
        <v>7084</v>
      </c>
    </row>
    <row r="3" spans="1:9" x14ac:dyDescent="0.3">
      <c r="A3" t="s">
        <v>7085</v>
      </c>
      <c r="B3">
        <f>COUNTA(Churn_data[CustomerID])</f>
        <v>7043</v>
      </c>
      <c r="F3" s="3" t="s">
        <v>7095</v>
      </c>
      <c r="G3" s="3" t="s">
        <v>7094</v>
      </c>
    </row>
    <row r="4" spans="1:9" x14ac:dyDescent="0.3">
      <c r="A4" t="s">
        <v>7086</v>
      </c>
      <c r="B4">
        <f>COUNTIF(Churn_data[Churn],"yes")</f>
        <v>1869</v>
      </c>
      <c r="F4" s="3" t="s">
        <v>7092</v>
      </c>
      <c r="G4" t="s">
        <v>24</v>
      </c>
      <c r="H4" t="s">
        <v>23</v>
      </c>
      <c r="I4" t="s">
        <v>7093</v>
      </c>
    </row>
    <row r="5" spans="1:9" x14ac:dyDescent="0.3">
      <c r="A5" t="s">
        <v>7087</v>
      </c>
      <c r="B5">
        <f>COUNTIF(Churn_data[Churn],"no")</f>
        <v>5174</v>
      </c>
      <c r="F5" s="4" t="s">
        <v>27</v>
      </c>
      <c r="G5" s="5">
        <v>2220</v>
      </c>
      <c r="H5" s="5">
        <v>1655</v>
      </c>
      <c r="I5" s="5">
        <v>3875</v>
      </c>
    </row>
    <row r="6" spans="1:9" x14ac:dyDescent="0.3">
      <c r="A6" t="s">
        <v>7088</v>
      </c>
      <c r="B6" s="1">
        <f>B4/B3</f>
        <v>0.26536987079369589</v>
      </c>
      <c r="F6" s="4" t="s">
        <v>31</v>
      </c>
      <c r="G6" s="5">
        <v>1307</v>
      </c>
      <c r="H6" s="5">
        <v>166</v>
      </c>
      <c r="I6" s="5">
        <v>1473</v>
      </c>
    </row>
    <row r="7" spans="1:9" x14ac:dyDescent="0.3">
      <c r="A7" t="s">
        <v>7089</v>
      </c>
      <c r="B7" s="2">
        <f>AVERAGE(Churn_data[MonthlyCharges])</f>
        <v>64.761685361351738</v>
      </c>
      <c r="F7" s="4" t="s">
        <v>47</v>
      </c>
      <c r="G7" s="5">
        <v>1647</v>
      </c>
      <c r="H7" s="5">
        <v>48</v>
      </c>
      <c r="I7" s="5">
        <v>1695</v>
      </c>
    </row>
    <row r="8" spans="1:9" x14ac:dyDescent="0.3">
      <c r="A8" t="s">
        <v>7090</v>
      </c>
      <c r="B8">
        <f>SUM(Churn_data[MonthlyCharges])</f>
        <v>456116.55000000034</v>
      </c>
      <c r="F8" s="4" t="s">
        <v>7093</v>
      </c>
      <c r="G8" s="5">
        <v>5174</v>
      </c>
      <c r="H8" s="5">
        <v>1869</v>
      </c>
      <c r="I8" s="5">
        <v>7043</v>
      </c>
    </row>
    <row r="9" spans="1:9" x14ac:dyDescent="0.3">
      <c r="A9" t="s">
        <v>7091</v>
      </c>
      <c r="B9">
        <f>AVERAGE(Churn_data[Tenure])</f>
        <v>32.371148658242227</v>
      </c>
    </row>
    <row r="11" spans="1:9" x14ac:dyDescent="0.3">
      <c r="F11" s="3" t="s">
        <v>7095</v>
      </c>
      <c r="G11" s="3" t="s">
        <v>7094</v>
      </c>
    </row>
    <row r="12" spans="1:9" x14ac:dyDescent="0.3">
      <c r="F12" s="3" t="s">
        <v>7092</v>
      </c>
      <c r="G12" t="s">
        <v>24</v>
      </c>
      <c r="H12" t="s">
        <v>23</v>
      </c>
      <c r="I12" t="s">
        <v>7088</v>
      </c>
    </row>
    <row r="13" spans="1:9" x14ac:dyDescent="0.3">
      <c r="F13" s="4" t="s">
        <v>27</v>
      </c>
      <c r="G13" s="5">
        <v>2220</v>
      </c>
      <c r="H13" s="5">
        <v>1655</v>
      </c>
      <c r="I13" s="1">
        <f>COUNTIFS(Churn_data[Contract],F13,Churn_data[Churn],"yes")/COUNTIF(Churn_data[Contract],F13)</f>
        <v>0.42709677419354841</v>
      </c>
    </row>
    <row r="14" spans="1:9" x14ac:dyDescent="0.3">
      <c r="F14" s="4" t="s">
        <v>31</v>
      </c>
      <c r="G14" s="5">
        <v>1307</v>
      </c>
      <c r="H14" s="5">
        <v>166</v>
      </c>
      <c r="I14" s="1">
        <f>COUNTIFS(Churn_data[Contract],F14,Churn_data[Churn],"yes")/COUNTIF(Churn_data[Contract],F14)</f>
        <v>0.11269517990495587</v>
      </c>
    </row>
    <row r="15" spans="1:9" x14ac:dyDescent="0.3">
      <c r="F15" s="4" t="s">
        <v>47</v>
      </c>
      <c r="G15" s="5">
        <v>1647</v>
      </c>
      <c r="H15" s="5">
        <v>48</v>
      </c>
      <c r="I15" s="1">
        <f>COUNTIFS(Churn_data[Contract],F15,Churn_data[Churn],"yes")/COUNTIF(Churn_data[Contract],F15)</f>
        <v>2.831858407079646E-2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Telco-Customer-Churn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sabitha gajendran</dc:creator>
  <cp:lastModifiedBy>powerbi2026</cp:lastModifiedBy>
  <dcterms:created xsi:type="dcterms:W3CDTF">2026-07-05T06:46:15Z</dcterms:created>
  <dcterms:modified xsi:type="dcterms:W3CDTF">2026-10-14T14:22:11Z</dcterms:modified>
</cp:coreProperties>
</file>